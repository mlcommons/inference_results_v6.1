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center - closed" sheetId="1" state="visible" r:id="rId1"/>
    <sheet name="edge - closed" sheetId="2" state="visible" r:id="rId2"/>
    <sheet name="datacenter - open" sheetId="3" state="visible" r:id="rId3"/>
    <sheet name="edge - op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/>
  </cellStyles>
  <dxfs count="1">
    <dxf>
      <fill>
        <patternFill>
          <bgColor rgb="FFEFEF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3"/>
  <sheetViews>
    <sheetView tabSelected="1" workbookViewId="0">
      <selection activeCell="A1" sqref="A1"/>
    </sheetView>
  </sheetViews>
  <sheetFormatPr baseColWidth="8" defaultRowHeight="15"/>
  <cols>
    <col hidden="1" min="2" max="3"/>
    <col width="9.140625" customWidth="1" style="1" min="18" max="101"/>
  </cols>
  <sheetData>
    <row r="1">
      <c r="Q1" s="2" t="n"/>
      <c r="R1" s="2" t="inlineStr">
        <is>
          <t>Result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4" t="n"/>
    </row>
    <row r="2">
      <c r="Q2" s="2" t="inlineStr">
        <is>
          <t>Model</t>
        </is>
      </c>
      <c r="R2" s="2" t="inlineStr">
        <is>
          <t>dlrm-v3</t>
        </is>
      </c>
      <c r="S2" s="4" t="n"/>
      <c r="T2" s="2" t="inlineStr">
        <is>
          <t>llama3.1-8b</t>
        </is>
      </c>
      <c r="U2" s="3" t="n"/>
      <c r="V2" s="4" t="n"/>
      <c r="W2" s="2" t="inlineStr">
        <is>
          <t>llama2-70b-99.9</t>
        </is>
      </c>
      <c r="X2" s="3" t="n"/>
      <c r="Y2" s="4" t="n"/>
      <c r="Z2" s="2" t="inlineStr">
        <is>
          <t>rgat</t>
        </is>
      </c>
      <c r="AA2" s="2" t="inlineStr">
        <is>
          <t>deepseek-r1</t>
        </is>
      </c>
      <c r="AB2" s="3" t="n"/>
      <c r="AC2" s="4" t="n"/>
      <c r="AD2" s="2" t="inlineStr">
        <is>
          <t>whisper</t>
        </is>
      </c>
      <c r="AE2" s="2" t="inlineStr">
        <is>
          <t>text_to_video</t>
        </is>
      </c>
      <c r="AF2" s="4" t="n"/>
      <c r="AG2" s="2" t="inlineStr">
        <is>
          <t>VLM</t>
        </is>
      </c>
      <c r="AH2" s="3" t="n"/>
      <c r="AI2" s="4" t="n"/>
      <c r="AJ2" s="2" t="inlineStr">
        <is>
          <t>gpt-oss-120b</t>
        </is>
      </c>
      <c r="AK2" s="3" t="n"/>
      <c r="AL2" s="4" t="n"/>
      <c r="AM2" s="2" t="inlineStr">
        <is>
          <t>end to end question-answering</t>
        </is>
      </c>
      <c r="AN2" s="2" t="inlineStr">
        <is>
          <t>end to end vector-database</t>
        </is>
      </c>
    </row>
    <row r="3">
      <c r="Q3" s="2" t="inlineStr">
        <is>
          <t>Scenario</t>
        </is>
      </c>
      <c r="R3" s="2" t="inlineStr">
        <is>
          <t>Server</t>
        </is>
      </c>
      <c r="S3" s="2" t="inlineStr">
        <is>
          <t>Offline</t>
        </is>
      </c>
      <c r="T3" s="2" t="inlineStr">
        <is>
          <t>Server</t>
        </is>
      </c>
      <c r="U3" s="2" t="inlineStr">
        <is>
          <t>Offline</t>
        </is>
      </c>
      <c r="V3" s="2" t="inlineStr">
        <is>
          <t>Interactive</t>
        </is>
      </c>
      <c r="W3" s="2" t="inlineStr">
        <is>
          <t>Server</t>
        </is>
      </c>
      <c r="X3" s="2" t="inlineStr">
        <is>
          <t>Offline</t>
        </is>
      </c>
      <c r="Y3" s="2" t="inlineStr">
        <is>
          <t>Interactive</t>
        </is>
      </c>
      <c r="Z3" s="2" t="inlineStr">
        <is>
          <t>Offline</t>
        </is>
      </c>
      <c r="AA3" s="2" t="inlineStr">
        <is>
          <t>Server</t>
        </is>
      </c>
      <c r="AB3" s="2" t="inlineStr">
        <is>
          <t>Offline</t>
        </is>
      </c>
      <c r="AC3" s="2" t="inlineStr">
        <is>
          <t>Interactive</t>
        </is>
      </c>
      <c r="AD3" s="2" t="inlineStr">
        <is>
          <t>Offline</t>
        </is>
      </c>
      <c r="AE3" s="2" t="inlineStr">
        <is>
          <t>SingleStream</t>
        </is>
      </c>
      <c r="AF3" s="2" t="inlineStr">
        <is>
          <t>Offline</t>
        </is>
      </c>
      <c r="AG3" s="2" t="inlineStr">
        <is>
          <t>Server</t>
        </is>
      </c>
      <c r="AH3" s="2" t="inlineStr">
        <is>
          <t>Offline</t>
        </is>
      </c>
      <c r="AI3" s="2" t="inlineStr">
        <is>
          <t>Interactive</t>
        </is>
      </c>
      <c r="AJ3" s="2" t="inlineStr">
        <is>
          <t>Server</t>
        </is>
      </c>
      <c r="AK3" s="2" t="inlineStr">
        <is>
          <t>Offline</t>
        </is>
      </c>
      <c r="AL3" s="2" t="inlineStr">
        <is>
          <t>Interactive</t>
        </is>
      </c>
      <c r="AM3" s="2" t="inlineStr">
        <is>
          <t>Offline</t>
        </is>
      </c>
      <c r="AN3" s="2" t="inlineStr">
        <is>
          <t>Offline</t>
        </is>
      </c>
    </row>
    <row r="4">
      <c r="Q4" s="2" t="inlineStr">
        <is>
          <t>Units</t>
        </is>
      </c>
      <c r="R4" s="2" t="inlineStr">
        <is>
          <t>Queries/s</t>
        </is>
      </c>
      <c r="S4" s="2" t="inlineStr">
        <is>
          <t>Samples/s</t>
        </is>
      </c>
      <c r="T4" s="2" t="inlineStr">
        <is>
          <t>Tokens/s</t>
        </is>
      </c>
      <c r="U4" s="2" t="inlineStr">
        <is>
          <t>Tokens/s</t>
        </is>
      </c>
      <c r="V4" s="2" t="inlineStr">
        <is>
          <t>Tokens/s</t>
        </is>
      </c>
      <c r="W4" s="2" t="inlineStr">
        <is>
          <t>Tokens/s</t>
        </is>
      </c>
      <c r="X4" s="2" t="inlineStr">
        <is>
          <t>Tokens/s</t>
        </is>
      </c>
      <c r="Y4" s="2" t="inlineStr">
        <is>
          <t>Tokens/s</t>
        </is>
      </c>
      <c r="Z4" s="2" t="inlineStr">
        <is>
          <t>Samples/s</t>
        </is>
      </c>
      <c r="AA4" s="2" t="inlineStr">
        <is>
          <t>Tokens/s</t>
        </is>
      </c>
      <c r="AB4" s="2" t="inlineStr">
        <is>
          <t>Tokens/s</t>
        </is>
      </c>
      <c r="AC4" s="2" t="inlineStr">
        <is>
          <t>Tokens/s</t>
        </is>
      </c>
      <c r="AD4" s="2" t="inlineStr">
        <is>
          <t>Samples/s</t>
        </is>
      </c>
      <c r="AE4" s="2" t="inlineStr">
        <is>
          <t>Latency (s)</t>
        </is>
      </c>
      <c r="AF4" s="2" t="inlineStr">
        <is>
          <t>Samples/s</t>
        </is>
      </c>
      <c r="AG4" s="2" t="inlineStr">
        <is>
          <t>Queries/s</t>
        </is>
      </c>
      <c r="AH4" s="2" t="inlineStr">
        <is>
          <t>Samples/s</t>
        </is>
      </c>
      <c r="AI4" s="2" t="inlineStr">
        <is>
          <t>Queries/s</t>
        </is>
      </c>
      <c r="AJ4" s="2" t="inlineStr">
        <is>
          <t>Tokens/s</t>
        </is>
      </c>
      <c r="AK4" s="2" t="inlineStr">
        <is>
          <t>Tokens/s</t>
        </is>
      </c>
      <c r="AL4" s="2" t="inlineStr">
        <is>
          <t>Tokens/s</t>
        </is>
      </c>
      <c r="AM4" s="2" t="inlineStr">
        <is>
          <t>Tasks/s</t>
        </is>
      </c>
      <c r="AN4" s="2" t="inlineStr">
        <is>
          <t>Samples/s</t>
        </is>
      </c>
    </row>
    <row r="5">
      <c r="A5" s="2" t="inlineStr">
        <is>
          <t>ID</t>
        </is>
      </c>
      <c r="B5" s="2" t="inlineStr">
        <is>
          <t>Unique ID (e.g. for Audit)</t>
        </is>
      </c>
      <c r="C5" s="2" t="inlineStr">
        <is>
          <t>ColorKey</t>
        </is>
      </c>
      <c r="D5" s="2" t="inlineStr">
        <is>
          <t>PrivateID</t>
        </is>
      </c>
      <c r="E5" s="2" t="inlineStr">
        <is>
          <t>Submitter</t>
        </is>
      </c>
      <c r="F5" s="2" t="inlineStr">
        <is>
          <t>Availability</t>
        </is>
      </c>
      <c r="G5" s="2" t="inlineStr">
        <is>
          <t>System</t>
        </is>
      </c>
      <c r="H5" s="2" t="inlineStr">
        <is>
          <t>Nodes</t>
        </is>
      </c>
      <c r="I5" s="2" t="inlineStr">
        <is>
          <t>Processor</t>
        </is>
      </c>
      <c r="J5" s="2" t="inlineStr">
        <is>
          <t>p#</t>
        </is>
      </c>
      <c r="K5" s="2" t="inlineStr">
        <is>
          <t>Accelerator</t>
        </is>
      </c>
      <c r="L5" s="2" t="inlineStr">
        <is>
          <t>a#</t>
        </is>
      </c>
      <c r="M5" s="2" t="inlineStr">
        <is>
          <t>Total Accelerators</t>
        </is>
      </c>
      <c r="N5" s="2" t="inlineStr">
        <is>
          <t>Software</t>
        </is>
      </c>
      <c r="O5" s="2" t="inlineStr">
        <is>
          <t>Notes</t>
        </is>
      </c>
      <c r="P5" s="2" t="inlineStr">
        <is>
          <t>Details</t>
        </is>
      </c>
      <c r="Q5" s="2" t="inlineStr">
        <is>
          <t>Code</t>
        </is>
      </c>
    </row>
    <row r="6">
      <c r="A6" s="2" t="inlineStr">
        <is>
          <t>6.1-0001</t>
        </is>
      </c>
      <c r="B6" s="2" t="inlineStr">
        <is>
          <t>datacenter/closed/AMD/8xMI350X_2xEPYC_9575F</t>
        </is>
      </c>
      <c r="C6" s="2" t="inlineStr">
        <is>
          <t>availableAMD</t>
        </is>
      </c>
      <c r="D6" s="2" t="n"/>
      <c r="E6" s="2" t="inlineStr">
        <is>
          <t>AMD</t>
        </is>
      </c>
      <c r="F6" s="2" t="inlineStr">
        <is>
          <t>available</t>
        </is>
      </c>
      <c r="G6" s="2" t="inlineStr">
        <is>
          <t>8xMI350X_2xEPYC_9575F</t>
        </is>
      </c>
      <c r="H6" s="2" t="n">
        <v>1</v>
      </c>
      <c r="I6" s="2" t="inlineStr">
        <is>
          <t>AMD EPYC 9575F</t>
        </is>
      </c>
      <c r="J6" s="2" t="n">
        <v>2</v>
      </c>
      <c r="K6" s="2" t="inlineStr">
        <is>
          <t>AMD Instinct MI350X 288GB HBM3e</t>
        </is>
      </c>
      <c r="L6" s="2" t="n">
        <v>8</v>
      </c>
      <c r="M6" s="2" t="n">
        <v>8</v>
      </c>
      <c r="N6" s="2" t="inlineStr">
        <is>
          <t>PyTorch 2.10.0+rocm7.2.3, Triton 3.6.0, ROCm 7.2.3</t>
        </is>
      </c>
      <c r="O6" s="2" t="inlineStr">
        <is>
          <t>Measured on host smci350-rck-g03-d13-31: 8x AMD Instinct MI350X / 2x AMD EPYC 9575F (64 cores/socket, 2 sockets). Known-good host KMD floor: amdgpu 6.16.6 or newer.. DLRM-v3 ROCm b32 q7,250 GOLD stack (full-causal, C1-off) with degree-5 production gate and TEST08 determinism fixes; container dlrmv3-e2e723 (ROCm 7.2.3).</t>
        </is>
      </c>
      <c r="P6" s="2">
        <f>HYPERLINK("https://github.com/mlcommons/submissions_inference_v6.0/tree/main/closed/AMD/results/8xMI350X_2xEPYC_9575F","details")</f>
        <v/>
      </c>
      <c r="Q6" s="2">
        <f>HYPERLINK("https://github.com/mlcommons/submissions_inference_v6.0/tree/main/closed/AMD/src","code")</f>
        <v/>
      </c>
      <c r="R6" s="1" t="n">
        <v>9297.780000000001</v>
      </c>
      <c r="S6" s="1" t="n">
        <v>10891.1</v>
      </c>
    </row>
    <row r="7">
      <c r="A7" s="2" t="inlineStr">
        <is>
          <t>6.1-0002</t>
        </is>
      </c>
      <c r="B7" s="2" t="inlineStr">
        <is>
          <t>datacenter/closed/AMD/8xMI350X_2xEPYC_9655</t>
        </is>
      </c>
      <c r="C7" s="2" t="inlineStr">
        <is>
          <t>availableAMD</t>
        </is>
      </c>
      <c r="D7" s="2" t="n"/>
      <c r="E7" s="2" t="inlineStr">
        <is>
          <t>AMD</t>
        </is>
      </c>
      <c r="F7" s="2" t="inlineStr">
        <is>
          <t>available</t>
        </is>
      </c>
      <c r="G7" s="2" t="inlineStr">
        <is>
          <t>Quanta Grand Teton 1.5 MI350</t>
        </is>
      </c>
      <c r="H7" s="2" t="n">
        <v>1</v>
      </c>
      <c r="I7" s="2" t="inlineStr">
        <is>
          <t>AMD EPYC 9655</t>
        </is>
      </c>
      <c r="J7" s="2" t="n">
        <v>2</v>
      </c>
      <c r="K7" s="2" t="inlineStr">
        <is>
          <t>AMD Instinct MI350X 288GB HBM3e</t>
        </is>
      </c>
      <c r="L7" s="2" t="n">
        <v>8</v>
      </c>
      <c r="M7" s="2" t="n">
        <v>8</v>
      </c>
      <c r="N7" s="2" t="inlineStr">
        <is>
          <t>xDiT, xfuser 0.4.5, PyTorch 2.9.1+gitff65f5b, ROCm 7.13.0</t>
        </is>
      </c>
      <c r="O7" s="2" t="n"/>
      <c r="P7" s="2">
        <f>HYPERLINK("https://github.com/mlcommons/submissions_inference_v6.0/tree/main/closed/AMD/results/8xMI350X_2xEPYC_9655","details")</f>
        <v/>
      </c>
      <c r="Q7" s="2">
        <f>HYPERLINK("https://github.com/mlcommons/submissions_inference_v6.0/tree/main/closed/AMD/src","code")</f>
        <v/>
      </c>
      <c r="AE7" s="1" t="n">
        <v>20.603024726</v>
      </c>
      <c r="AF7" s="1" t="n">
        <v>0.0565013</v>
      </c>
    </row>
    <row r="8">
      <c r="A8" s="2" t="inlineStr">
        <is>
          <t>6.1-0003</t>
        </is>
      </c>
      <c r="B8" s="2" t="inlineStr">
        <is>
          <t>datacenter/closed/AMD/8xMI355X_2xEPYC_9575F</t>
        </is>
      </c>
      <c r="C8" s="2" t="inlineStr">
        <is>
          <t>availableAMD</t>
        </is>
      </c>
      <c r="D8" s="2" t="n"/>
      <c r="E8" s="2" t="inlineStr">
        <is>
          <t>AMD</t>
        </is>
      </c>
      <c r="F8" s="2" t="inlineStr">
        <is>
          <t>available</t>
        </is>
      </c>
      <c r="G8" s="2" t="inlineStr">
        <is>
          <t>smci355-ccs-aus-m13-13 (AS -4126GS-NMR-LCC)</t>
        </is>
      </c>
      <c r="H8" s="2" t="n">
        <v>1</v>
      </c>
      <c r="I8" s="2" t="inlineStr">
        <is>
          <t>AMD EPYC 9575F</t>
        </is>
      </c>
      <c r="J8" s="2" t="n">
        <v>8</v>
      </c>
      <c r="K8" s="2" t="inlineStr">
        <is>
          <t>AMD Instinct MI355X 288GB HBM3e</t>
        </is>
      </c>
      <c r="L8" s="2" t="n">
        <v>8</v>
      </c>
      <c r="M8" s="2" t="n">
        <v>8</v>
      </c>
      <c r="N8" s="2" t="inlineStr">
        <is>
          <t>PyTorch 2.10.0+git8514f05, ROCm 7.2.2</t>
        </is>
      </c>
      <c r="O8" s="2" t="n"/>
      <c r="P8" s="2">
        <f>HYPERLINK("https://github.com/mlcommons/submissions_inference_v6.0/tree/main/closed/AMD/results/8xMI355X_2xEPYC_9575F","details")</f>
        <v/>
      </c>
      <c r="Q8" s="2">
        <f>HYPERLINK("https://github.com/mlcommons/submissions_inference_v6.0/tree/main/closed/AMD/src","code")</f>
        <v/>
      </c>
      <c r="R8" s="1" t="n">
        <v>12198.8</v>
      </c>
      <c r="S8" s="1" t="n">
        <v>13027.7</v>
      </c>
      <c r="W8" s="1" t="n">
        <v>103275</v>
      </c>
      <c r="X8" s="1" t="n">
        <v>106517</v>
      </c>
      <c r="Y8" s="1" t="n">
        <v>73191.5</v>
      </c>
      <c r="AE8" s="1" t="n">
        <v>16.124484197</v>
      </c>
      <c r="AF8" s="1" t="n">
        <v>0.0731282</v>
      </c>
      <c r="AJ8" s="1" t="n">
        <v>113241</v>
      </c>
      <c r="AK8" s="1" t="n">
        <v>121818</v>
      </c>
    </row>
    <row r="9">
      <c r="A9" s="2" t="inlineStr">
        <is>
          <t>6.1-0004</t>
        </is>
      </c>
      <c r="B9" s="2" t="inlineStr">
        <is>
          <t>datacenter/closed/AMD/9x8xMI355X_2xEPYC_9575F</t>
        </is>
      </c>
      <c r="C9" s="2" t="inlineStr">
        <is>
          <t>availableAMD</t>
        </is>
      </c>
      <c r="D9" s="2" t="n"/>
      <c r="E9" s="2" t="inlineStr">
        <is>
          <t>AMD</t>
        </is>
      </c>
      <c r="F9" s="2" t="inlineStr">
        <is>
          <t>available</t>
        </is>
      </c>
      <c r="G9" s="2" t="inlineStr">
        <is>
          <t>9x8xMI355X_2xEPYC_9575F</t>
        </is>
      </c>
      <c r="H9" s="2" t="n">
        <v>9</v>
      </c>
      <c r="I9" s="2" t="inlineStr">
        <is>
          <t>AMD EPYC 9575F</t>
        </is>
      </c>
      <c r="J9" s="2" t="n">
        <v>2</v>
      </c>
      <c r="K9" s="2" t="inlineStr">
        <is>
          <t>AMD Instinct MI355X 288GB HBM3e</t>
        </is>
      </c>
      <c r="L9" s="2" t="n">
        <v>8</v>
      </c>
      <c r="M9" s="2" t="n">
        <v>72</v>
      </c>
      <c r="N9" s="2" t="inlineStr">
        <is>
          <t>vLLM 0.22.1.dev0, PyTorch 2.10.0, ROCm 7.2.2</t>
        </is>
      </c>
      <c r="O9" s="2" t="inlineStr">
        <is>
          <t>9 nodes x 8 AMD Instinct MI355X (gfx950) = 72 GPUs, 288GB HBM3E each; distributed asynchronous ZMQ backend. MXFP4 (W4A4) weights with FP8 KV cache, Quark quantization; 72-GPU distributed ZMQ (async server / sync offline)</t>
        </is>
      </c>
      <c r="P9" s="2">
        <f>HYPERLINK("https://github.com/mlcommons/submissions_inference_v6.0/tree/main/closed/AMD/results/9x8xMI355X_2xEPYC_9575F","details")</f>
        <v/>
      </c>
      <c r="Q9" s="2">
        <f>HYPERLINK("https://github.com/mlcommons/submissions_inference_v6.0/tree/main/closed/AMD/src","code")</f>
        <v/>
      </c>
      <c r="AJ9" s="1" t="n">
        <v>964468</v>
      </c>
      <c r="AK9" s="1" t="n">
        <v>1039900</v>
      </c>
    </row>
    <row r="10">
      <c r="A10" s="2" t="inlineStr">
        <is>
          <t>6.1-0005</t>
        </is>
      </c>
      <c r="B10" s="2" t="inlineStr">
        <is>
          <t>datacenter/closed/ASUSTeK/XA_NB3I-E12_B300x8_TRT</t>
        </is>
      </c>
      <c r="C10" s="2" t="inlineStr">
        <is>
          <t>availableASUSTeK</t>
        </is>
      </c>
      <c r="D10" s="2" t="n"/>
      <c r="E10" s="2" t="inlineStr">
        <is>
          <t>ASUSTeK</t>
        </is>
      </c>
      <c r="F10" s="2" t="inlineStr">
        <is>
          <t>available</t>
        </is>
      </c>
      <c r="G10" s="2" t="inlineStr">
        <is>
          <t>XA NB3I-E12</t>
        </is>
      </c>
      <c r="H10" s="2" t="n">
        <v>1</v>
      </c>
      <c r="I10" s="2" t="inlineStr">
        <is>
          <t>Intel(R) Xeon(R) 6767P</t>
        </is>
      </c>
      <c r="J10" s="2" t="n">
        <v>2</v>
      </c>
      <c r="K10" s="2" t="inlineStr">
        <is>
          <t>NVIDIA B300-SXM-270GB</t>
        </is>
      </c>
      <c r="L10" s="2" t="n">
        <v>8</v>
      </c>
      <c r="M10" s="2" t="n">
        <v>8</v>
      </c>
      <c r="N10" s="2" t="inlineStr">
        <is>
          <t>TensorRT 10.14, CUDA 13.1</t>
        </is>
      </c>
      <c r="O10" s="2" t="n"/>
      <c r="P10" s="2">
        <f>HYPERLINK("https://github.com/mlcommons/submissions_inference_v6.0/tree/main/closed/ASUSTeK/results/XA_NB3I-E12_B300x8_TRT","details")</f>
        <v/>
      </c>
      <c r="Q10" s="2">
        <f>HYPERLINK("https://github.com/mlcommons/submissions_inference_v6.0/tree/main/closed/ASUSTeK/src","code")</f>
        <v/>
      </c>
      <c r="W10" s="1" t="n">
        <v>113455</v>
      </c>
      <c r="X10" s="1" t="n">
        <v>113007</v>
      </c>
      <c r="AA10" s="1" t="n">
        <v>54568.6</v>
      </c>
      <c r="AB10" s="1" t="n">
        <v>69846.89999999999</v>
      </c>
      <c r="AJ10" s="1" t="n">
        <v>109949</v>
      </c>
      <c r="AK10" s="1" t="n">
        <v>109368</v>
      </c>
    </row>
    <row r="11">
      <c r="A11" s="2" t="inlineStr">
        <is>
          <t>6.1-0008</t>
        </is>
      </c>
      <c r="B11" s="2" t="inlineStr">
        <is>
          <t>datacenter/closed/Azure/Azure-GB200-NVL72_186GBx288</t>
        </is>
      </c>
      <c r="C11" s="2" t="inlineStr">
        <is>
          <t>availableAzure</t>
        </is>
      </c>
      <c r="D11" s="2" t="n"/>
      <c r="E11" s="2" t="inlineStr">
        <is>
          <t>Azure</t>
        </is>
      </c>
      <c r="F11" s="2" t="inlineStr">
        <is>
          <t>available</t>
        </is>
      </c>
      <c r="G11" s="2" t="inlineStr">
        <is>
          <t>Azure GB200 NVL72 (288x GB200-186GB_aarch64, TensorRT)</t>
        </is>
      </c>
      <c r="H11" s="2" t="n">
        <v>72</v>
      </c>
      <c r="I11" s="2" t="inlineStr">
        <is>
          <t>NVIDIA Grace CPU</t>
        </is>
      </c>
      <c r="J11" s="2" t="n">
        <v>2</v>
      </c>
      <c r="K11" s="2" t="inlineStr">
        <is>
          <t>NVIDIA GB200</t>
        </is>
      </c>
      <c r="L11" s="2" t="n">
        <v>4</v>
      </c>
      <c r="M11" s="2" t="n">
        <v>288</v>
      </c>
      <c r="N11" s="2" t="inlineStr">
        <is>
          <t>TensorRT 10.14, CUDA 13.1, cuDNN 9.17, TensorRT-LLM feat/1.2-mlpinf</t>
        </is>
      </c>
      <c r="O11" s="2" t="inlineStr">
        <is>
          <t>NVIDIA GB200 NVL72, 1200W TGP Per GPU</t>
        </is>
      </c>
      <c r="P11" s="2">
        <f>HYPERLINK("https://github.com/mlcommons/submissions_inference_v6.0/tree/main/closed/Azure/results/Azure-GB200-NVL72_186GBx288","details")</f>
        <v/>
      </c>
      <c r="Q11" s="2">
        <f>HYPERLINK("https://github.com/mlcommons/submissions_inference_v6.0/tree/main/closed/Azure/src","code")</f>
        <v/>
      </c>
      <c r="AA11" s="1" t="n">
        <v>1598510</v>
      </c>
      <c r="AB11" s="1" t="n">
        <v>2091190</v>
      </c>
    </row>
    <row r="12">
      <c r="A12" s="2" t="inlineStr">
        <is>
          <t>6.1-0009</t>
        </is>
      </c>
      <c r="B12" s="2" t="inlineStr">
        <is>
          <t>datacenter/closed/Azure/Azure-GB200-NVL72_186GBx72</t>
        </is>
      </c>
      <c r="C12" s="2" t="inlineStr">
        <is>
          <t>availableAzure</t>
        </is>
      </c>
      <c r="D12" s="2" t="n"/>
      <c r="E12" s="2" t="inlineStr">
        <is>
          <t>Azure</t>
        </is>
      </c>
      <c r="F12" s="2" t="inlineStr">
        <is>
          <t>available</t>
        </is>
      </c>
      <c r="G12" s="2" t="inlineStr">
        <is>
          <t>Azure GB200 NVL72 (72x GB200-186GB_aarch64, TensorRT)</t>
        </is>
      </c>
      <c r="H12" s="2" t="n">
        <v>18</v>
      </c>
      <c r="I12" s="2" t="inlineStr">
        <is>
          <t>NVIDIA Grace CPU</t>
        </is>
      </c>
      <c r="J12" s="2" t="n">
        <v>2</v>
      </c>
      <c r="K12" s="2" t="inlineStr">
        <is>
          <t>NVIDIA GB200</t>
        </is>
      </c>
      <c r="L12" s="2" t="n">
        <v>4</v>
      </c>
      <c r="M12" s="2" t="n">
        <v>72</v>
      </c>
      <c r="N12" s="2" t="inlineStr">
        <is>
          <t>TensorRT 10.14, CUDA 13.1, cuDNN 9.17, TensorRT-LLM feat/1.2-mlpinf</t>
        </is>
      </c>
      <c r="O12" s="2" t="inlineStr">
        <is>
          <t>NVIDIA GB200 NVL72, 1200W TGP Per GPU</t>
        </is>
      </c>
      <c r="P12" s="2">
        <f>HYPERLINK("https://github.com/mlcommons/submissions_inference_v6.0/tree/main/closed/Azure/results/Azure-GB200-NVL72_186GBx72","details")</f>
        <v/>
      </c>
      <c r="Q12" s="2">
        <f>HYPERLINK("https://github.com/mlcommons/submissions_inference_v6.0/tree/main/closed/Azure/src","code")</f>
        <v/>
      </c>
      <c r="AA12" s="1" t="n">
        <v>426796</v>
      </c>
      <c r="AB12" s="1" t="n">
        <v>542075</v>
      </c>
    </row>
    <row r="13">
      <c r="A13" s="2" t="inlineStr">
        <is>
          <t>6.1-0010</t>
        </is>
      </c>
      <c r="B13" s="2" t="inlineStr">
        <is>
          <t>datacenter/closed/Azure/Azure-GB300-NVL72_288GBx72</t>
        </is>
      </c>
      <c r="C13" s="2" t="inlineStr">
        <is>
          <t>availableAzure</t>
        </is>
      </c>
      <c r="D13" s="2" t="n"/>
      <c r="E13" s="2" t="inlineStr">
        <is>
          <t>Azure</t>
        </is>
      </c>
      <c r="F13" s="2" t="inlineStr">
        <is>
          <t>available</t>
        </is>
      </c>
      <c r="G13" s="2" t="inlineStr">
        <is>
          <t>Azure GB300 NVL72 (72x GB300-288GB_aarch64 TensorRT)</t>
        </is>
      </c>
      <c r="H13" s="2" t="n">
        <v>18</v>
      </c>
      <c r="I13" s="2" t="inlineStr">
        <is>
          <t>NVIDIA Grace CPU</t>
        </is>
      </c>
      <c r="J13" s="2" t="n">
        <v>2</v>
      </c>
      <c r="K13" s="2" t="inlineStr">
        <is>
          <t>NVIDIA GB300</t>
        </is>
      </c>
      <c r="L13" s="2" t="n">
        <v>4</v>
      </c>
      <c r="M13" s="2" t="n">
        <v>72</v>
      </c>
      <c r="N13" s="2" t="inlineStr">
        <is>
          <t>TensorRT 10.14, CUDA 13.1, cuDNN 9.17, TensorRT-LLM feat/1.2-mlpinf</t>
        </is>
      </c>
      <c r="O13" s="2" t="inlineStr">
        <is>
          <t>NVIDIA GB300 NVL72, 1400W TGP Per GPU</t>
        </is>
      </c>
      <c r="P13" s="2">
        <f>HYPERLINK("https://github.com/mlcommons/submissions_inference_v6.0/tree/main/closed/Azure/results/Azure-GB300-NVL72_288GBx72","details")</f>
        <v/>
      </c>
      <c r="Q13" s="2">
        <f>HYPERLINK("https://github.com/mlcommons/submissions_inference_v6.0/tree/main/closed/Azure/src","code")</f>
        <v/>
      </c>
      <c r="AA13" s="1" t="n">
        <v>589391</v>
      </c>
      <c r="AB13" s="1" t="n">
        <v>661143</v>
      </c>
      <c r="AC13" s="1" t="n">
        <v>260098</v>
      </c>
    </row>
    <row r="14">
      <c r="A14" s="2" t="inlineStr">
        <is>
          <t>6.1-0011</t>
        </is>
      </c>
      <c r="B14" s="2" t="inlineStr">
        <is>
          <t>datacenter/closed/Cisco/C240M8_RTXPro4500_32GBx5_TRT</t>
        </is>
      </c>
      <c r="C14" s="2" t="inlineStr">
        <is>
          <t>availableCisco</t>
        </is>
      </c>
      <c r="D14" s="2" t="n"/>
      <c r="E14" s="2" t="inlineStr">
        <is>
          <t>Cisco</t>
        </is>
      </c>
      <c r="F14" s="2" t="inlineStr">
        <is>
          <t>available</t>
        </is>
      </c>
      <c r="G14" s="2" t="inlineStr">
        <is>
          <t>Cisco UCS C240 M8 - (5x NVIDIA RTX PRO 4500 Blackwell-32GB, TensorRT)</t>
        </is>
      </c>
      <c r="H14" s="2" t="n">
        <v>1</v>
      </c>
      <c r="I14" s="2" t="inlineStr">
        <is>
          <t>Intel(R) Xeon(R) 6787P</t>
        </is>
      </c>
      <c r="J14" s="2" t="n">
        <v>2</v>
      </c>
      <c r="K14" s="2" t="inlineStr">
        <is>
          <t>NVIDIA RTX PRO 4500 Blackwell</t>
        </is>
      </c>
      <c r="L14" s="2" t="n">
        <v>5</v>
      </c>
      <c r="M14" s="2" t="n">
        <v>5</v>
      </c>
      <c r="N14" s="2" t="inlineStr">
        <is>
          <t>TensorRT 10.14, CUDA 13.1</t>
        </is>
      </c>
      <c r="O14" s="2" t="n"/>
      <c r="P14" s="2">
        <f>HYPERLINK("https://github.com/mlcommons/submissions_inference_v6.0/tree/main/closed/Cisco/results/C240M8_RTXPro4500_32GBx5_TRT","details")</f>
        <v/>
      </c>
      <c r="Q14" s="2">
        <f>HYPERLINK("https://github.com/mlcommons/submissions_inference_v6.0/tree/main/closed/Cisco/src","code")</f>
        <v/>
      </c>
      <c r="T14" s="1" t="n">
        <v>11426.1</v>
      </c>
      <c r="U14" s="1" t="n">
        <v>12017.7</v>
      </c>
      <c r="V14" s="1" t="n">
        <v>8494.68</v>
      </c>
      <c r="AD14" s="1" t="n">
        <v>4808.98</v>
      </c>
    </row>
    <row r="15">
      <c r="A15" s="2" t="inlineStr">
        <is>
          <t>6.1-0012</t>
        </is>
      </c>
      <c r="B15" s="2" t="inlineStr">
        <is>
          <t>datacenter/closed/Cisco/C845A_M8_RTXPro4500_32GBx8_TRT</t>
        </is>
      </c>
      <c r="C15" s="2" t="inlineStr">
        <is>
          <t>availableCisco</t>
        </is>
      </c>
      <c r="D15" s="2" t="n"/>
      <c r="E15" s="2" t="inlineStr">
        <is>
          <t>Cisco</t>
        </is>
      </c>
      <c r="F15" s="2" t="inlineStr">
        <is>
          <t>available</t>
        </is>
      </c>
      <c r="G15" s="2" t="inlineStr">
        <is>
          <t>Cisco UCS C845A M8 (8x NVIDIA RTX PRO 4500 Blackwell-32GB, TensorRT)</t>
        </is>
      </c>
      <c r="H15" s="2" t="n">
        <v>1</v>
      </c>
      <c r="I15" s="2" t="inlineStr">
        <is>
          <t>AMD EPYC 9655</t>
        </is>
      </c>
      <c r="J15" s="2" t="n">
        <v>2</v>
      </c>
      <c r="K15" s="2" t="inlineStr">
        <is>
          <t>NVIDIA RTX PRO 4500 Blackwell</t>
        </is>
      </c>
      <c r="L15" s="2" t="n">
        <v>8</v>
      </c>
      <c r="M15" s="2" t="n">
        <v>8</v>
      </c>
      <c r="N15" s="2" t="inlineStr">
        <is>
          <t>TensorRT 10.14, CUDA 13.1</t>
        </is>
      </c>
      <c r="O15" s="2" t="n"/>
      <c r="P15" s="2">
        <f>HYPERLINK("https://github.com/mlcommons/submissions_inference_v6.0/tree/main/closed/Cisco/results/C845A_M8_RTXPro4500_32GBx8_TRT","details")</f>
        <v/>
      </c>
      <c r="Q15" s="2">
        <f>HYPERLINK("https://github.com/mlcommons/submissions_inference_v6.0/tree/main/closed/Cisco/src","code")</f>
        <v/>
      </c>
      <c r="T15" s="1" t="n">
        <v>18186.2</v>
      </c>
      <c r="U15" s="1" t="n">
        <v>18800.9</v>
      </c>
      <c r="V15" s="1" t="n">
        <v>14316.2</v>
      </c>
      <c r="AD15" s="1" t="n">
        <v>7777.66</v>
      </c>
    </row>
    <row r="16">
      <c r="A16" s="2" t="inlineStr">
        <is>
          <t>6.1-0013</t>
        </is>
      </c>
      <c r="B16" s="2" t="inlineStr">
        <is>
          <t>datacenter/closed/Cisco/C845A_M8_RTXPro6000_96GBx8_TRT</t>
        </is>
      </c>
      <c r="C16" s="2" t="inlineStr">
        <is>
          <t>availableCisco</t>
        </is>
      </c>
      <c r="D16" s="2" t="n"/>
      <c r="E16" s="2" t="inlineStr">
        <is>
          <t>Cisco</t>
        </is>
      </c>
      <c r="F16" s="2" t="inlineStr">
        <is>
          <t>available</t>
        </is>
      </c>
      <c r="G16" s="2" t="inlineStr">
        <is>
          <t>Cisco UCS C845A M8 (8x RTXPro6000-PCIe-96GB, TensorRT)</t>
        </is>
      </c>
      <c r="H16" s="2" t="n">
        <v>1</v>
      </c>
      <c r="I16" s="2" t="inlineStr">
        <is>
          <t>AMD EPYC 9575F</t>
        </is>
      </c>
      <c r="J16" s="2" t="n">
        <v>2</v>
      </c>
      <c r="K16" s="2" t="inlineStr">
        <is>
          <t>NVIDIA RTX PRO 6000 Blackwell Server Edition</t>
        </is>
      </c>
      <c r="L16" s="2" t="n">
        <v>8</v>
      </c>
      <c r="M16" s="2" t="n">
        <v>8</v>
      </c>
      <c r="N16" s="2" t="inlineStr">
        <is>
          <t>TensorRT 10.14, CUDA 13.1</t>
        </is>
      </c>
      <c r="O16" s="2" t="inlineStr">
        <is>
          <t>NVIDIA RTX PRO 6000 Blackwell Server Edition TGP 600W</t>
        </is>
      </c>
      <c r="P16" s="2">
        <f>HYPERLINK("https://github.com/mlcommons/submissions_inference_v6.0/tree/main/closed/Cisco/results/C845A_M8_RTXPro6000_96GBx8_TRT","details")</f>
        <v/>
      </c>
      <c r="Q16" s="2">
        <f>HYPERLINK("https://github.com/mlcommons/submissions_inference_v6.0/tree/main/closed/Cisco/src","code")</f>
        <v/>
      </c>
      <c r="T16" s="1" t="n">
        <v>49174.7</v>
      </c>
      <c r="U16" s="1" t="n">
        <v>50453.7</v>
      </c>
      <c r="V16" s="1" t="n">
        <v>46164.4</v>
      </c>
      <c r="W16" s="1" t="n">
        <v>29316.4</v>
      </c>
      <c r="X16" s="1" t="n">
        <v>29904</v>
      </c>
      <c r="AD16" s="1" t="n">
        <v>18991.8</v>
      </c>
      <c r="AJ16" s="1" t="n">
        <v>14817.4</v>
      </c>
      <c r="AK16" s="1" t="n">
        <v>15508.4</v>
      </c>
    </row>
    <row r="17">
      <c r="A17" s="2" t="inlineStr">
        <is>
          <t>6.1-0014</t>
        </is>
      </c>
      <c r="B17" s="2" t="inlineStr">
        <is>
          <t>datacenter/closed/Cisco/C880A_M8_B300_270GBx8_TRT</t>
        </is>
      </c>
      <c r="C17" s="2" t="inlineStr">
        <is>
          <t>availableCisco</t>
        </is>
      </c>
      <c r="D17" s="2" t="n"/>
      <c r="E17" s="2" t="inlineStr">
        <is>
          <t>Cisco</t>
        </is>
      </c>
      <c r="F17" s="2" t="inlineStr">
        <is>
          <t>available</t>
        </is>
      </c>
      <c r="G17" s="2" t="inlineStr">
        <is>
          <t>Cisco UCS C880A M8 (8x NVIDIA B300-SXM-270GB, TensorRT)</t>
        </is>
      </c>
      <c r="H17" s="2" t="n">
        <v>1</v>
      </c>
      <c r="I17" s="2" t="inlineStr">
        <is>
          <t>Intel(R) Xeon(R) 6767P</t>
        </is>
      </c>
      <c r="J17" s="2" t="n">
        <v>2</v>
      </c>
      <c r="K17" s="2" t="inlineStr">
        <is>
          <t>NVIDIA B300-SXM-270GB</t>
        </is>
      </c>
      <c r="L17" s="2" t="n">
        <v>8</v>
      </c>
      <c r="M17" s="2" t="n">
        <v>8</v>
      </c>
      <c r="N17" s="2" t="inlineStr">
        <is>
          <t>TensorRT 10.14, CUDA 13.1</t>
        </is>
      </c>
      <c r="O17" s="2" t="inlineStr">
        <is>
          <t>B300 TGP 1100W</t>
        </is>
      </c>
      <c r="P17" s="2">
        <f>HYPERLINK("https://github.com/mlcommons/submissions_inference_v6.0/tree/main/closed/Cisco/results/C880A_M8_B300_270GBx8_TRT","details")</f>
        <v/>
      </c>
      <c r="Q17" s="2">
        <f>HYPERLINK("https://github.com/mlcommons/submissions_inference_v6.0/tree/main/closed/Cisco/src","code")</f>
        <v/>
      </c>
      <c r="T17" s="1" t="n">
        <v>173950</v>
      </c>
      <c r="U17" s="1" t="n">
        <v>171114</v>
      </c>
      <c r="V17" s="1" t="n">
        <v>129168</v>
      </c>
      <c r="AA17" s="1" t="n">
        <v>66171.60000000001</v>
      </c>
      <c r="AB17" s="1" t="n">
        <v>70325.39999999999</v>
      </c>
      <c r="AD17" s="1" t="n">
        <v>52221.8</v>
      </c>
      <c r="AE17" s="1" t="n">
        <v>20.00421451803472</v>
      </c>
      <c r="AF17" s="1" t="n">
        <v>0.0612749682980279</v>
      </c>
    </row>
    <row r="18">
      <c r="A18" s="2" t="inlineStr">
        <is>
          <t>6.1-0015</t>
        </is>
      </c>
      <c r="B18" s="2" t="inlineStr">
        <is>
          <t>datacenter/closed/Cisco/Cisco_UCS_B300x16_G200_4x2_RO</t>
        </is>
      </c>
      <c r="C18" s="2" t="inlineStr">
        <is>
          <t>availableCisco</t>
        </is>
      </c>
      <c r="D18" s="2" t="n"/>
      <c r="E18" s="2" t="inlineStr">
        <is>
          <t>Cisco</t>
        </is>
      </c>
      <c r="F18" s="2" t="inlineStr">
        <is>
          <t>available</t>
        </is>
      </c>
      <c r="G18" s="2" t="inlineStr">
        <is>
          <t>Cisco_UCS_B300x16_G200_4x2_RO</t>
        </is>
      </c>
      <c r="H18" s="2" t="n">
        <v>2</v>
      </c>
      <c r="I18" s="2" t="inlineStr">
        <is>
          <t>Intel(R) Xeon(R) 6776P</t>
        </is>
      </c>
      <c r="J18" s="2" t="n">
        <v>2</v>
      </c>
      <c r="K18" s="2" t="inlineStr">
        <is>
          <t>NVIDIA B300-SXM-270GB</t>
        </is>
      </c>
      <c r="L18" s="2" t="n">
        <v>8</v>
      </c>
      <c r="M18" s="2" t="n">
        <v>16</v>
      </c>
      <c r="N18" s="2" t="inlineStr">
        <is>
          <t>TensorRT 10.14.1.48; TensorRT-LLM 1.3.0rc0</t>
        </is>
      </c>
      <c r="O18" s="2" t="n"/>
      <c r="P18" s="2">
        <f>HYPERLINK("https://github.com/mlcommons/submissions_inference_v6.0/tree/main/closed/Cisco/results/Cisco_UCS_B300x16_G200_4x2_RO","details")</f>
        <v/>
      </c>
      <c r="Q18" s="2">
        <f>HYPERLINK("https://github.com/mlcommons/submissions_inference_v6.0/tree/main/closed/Cisco/src","code")</f>
        <v/>
      </c>
      <c r="W18" s="1" t="n">
        <v>179597</v>
      </c>
      <c r="X18" s="1" t="n">
        <v>227570</v>
      </c>
      <c r="AA18" s="1" t="n">
        <v>88915.5</v>
      </c>
      <c r="AB18" s="1" t="n">
        <v>137067</v>
      </c>
      <c r="AJ18" s="1" t="n">
        <v>214774</v>
      </c>
      <c r="AK18" s="1" t="n">
        <v>220527</v>
      </c>
    </row>
    <row r="19">
      <c r="A19" s="2" t="inlineStr">
        <is>
          <t>6.1-0016</t>
        </is>
      </c>
      <c r="B19" s="2" t="inlineStr">
        <is>
          <t>datacenter/closed/Cisco/Cisco_UCS_H200x8_MI350Xx8_G200_2x2_TOR</t>
        </is>
      </c>
      <c r="C19" s="2" t="inlineStr">
        <is>
          <t>availableCisco</t>
        </is>
      </c>
      <c r="D19" s="2" t="n"/>
      <c r="E19" s="2" t="inlineStr">
        <is>
          <t>Cisco</t>
        </is>
      </c>
      <c r="F19" s="2" t="inlineStr">
        <is>
          <t>available</t>
        </is>
      </c>
      <c r="G19" s="2" t="inlineStr">
        <is>
          <t>Cisco UCS H200 x8 + MI350X x8 G200 2x2 TOR</t>
        </is>
      </c>
      <c r="H19" s="2" t="n">
        <v>2</v>
      </c>
      <c r="I19" s="2" t="inlineStr">
        <is>
          <t>AMD EPYC</t>
        </is>
      </c>
      <c r="J19" s="2" t="n">
        <v>2</v>
      </c>
      <c r="K19" s="2" t="inlineStr">
        <is>
          <t>NVIDIA H200-SXM-141GB + AMD Instinct MI350X 288GB HBM3e</t>
        </is>
      </c>
      <c r="L19" s="2" t="n">
        <v>8</v>
      </c>
      <c r="M19" s="2" t="n">
        <v>16</v>
      </c>
      <c r="N19" s="2" t="inlineStr">
        <is>
          <t>vLLM</t>
        </is>
      </c>
      <c r="O19" s="2" t="n"/>
      <c r="P19" s="2">
        <f>HYPERLINK("https://github.com/mlcommons/submissions_inference_v6.0/tree/main/closed/Cisco/results/Cisco_UCS_H200x8_MI350Xx8_G200_2x2_TOR","details")</f>
        <v/>
      </c>
      <c r="Q19" s="2">
        <f>HYPERLINK("https://github.com/mlcommons/submissions_inference_v6.0/tree/main/closed/Cisco/src","code")</f>
        <v/>
      </c>
      <c r="T19" s="1" t="n">
        <v>161110</v>
      </c>
      <c r="U19" s="1" t="n">
        <v>163292</v>
      </c>
      <c r="V19" s="1" t="n">
        <v>121557</v>
      </c>
      <c r="W19" s="1" t="n">
        <v>95104.60000000001</v>
      </c>
      <c r="X19" s="1" t="n">
        <v>99683.8</v>
      </c>
      <c r="Y19" s="1" t="n">
        <v>70354.5</v>
      </c>
      <c r="AJ19" s="1" t="n">
        <v>73357.60000000001</v>
      </c>
      <c r="AK19" s="1" t="n">
        <v>94249.3</v>
      </c>
    </row>
    <row r="20">
      <c r="A20" s="2" t="inlineStr">
        <is>
          <t>6.1-0017</t>
        </is>
      </c>
      <c r="B20" s="2" t="inlineStr">
        <is>
          <t>datacenter/closed/Cisco/X210M8_X580P_RTXPro4500_32GBx4_TRT</t>
        </is>
      </c>
      <c r="C20" s="2" t="inlineStr">
        <is>
          <t>availableCisco</t>
        </is>
      </c>
      <c r="D20" s="2" t="n"/>
      <c r="E20" s="2" t="inlineStr">
        <is>
          <t>Cisco</t>
        </is>
      </c>
      <c r="F20" s="2" t="inlineStr">
        <is>
          <t>available</t>
        </is>
      </c>
      <c r="G20" s="2" t="inlineStr">
        <is>
          <t>Cisco UCS X210 M8 - X580P PCIe Node (4x NVIDIA RTX PRO 4500 Blackwell-32GB, TensorRT)</t>
        </is>
      </c>
      <c r="H20" s="2" t="n">
        <v>1</v>
      </c>
      <c r="I20" s="2" t="inlineStr">
        <is>
          <t>Intel(R) Xeon(R) 6747P</t>
        </is>
      </c>
      <c r="J20" s="2" t="n">
        <v>2</v>
      </c>
      <c r="K20" s="2" t="inlineStr">
        <is>
          <t>NVIDIA RTX PRO 4500 Blackwell</t>
        </is>
      </c>
      <c r="L20" s="2" t="n">
        <v>4</v>
      </c>
      <c r="M20" s="2" t="n">
        <v>4</v>
      </c>
      <c r="N20" s="2" t="inlineStr">
        <is>
          <t>TensorRT 10.14, CUDA 13.1</t>
        </is>
      </c>
      <c r="O20" s="2" t="n"/>
      <c r="P20" s="2">
        <f>HYPERLINK("https://github.com/mlcommons/submissions_inference_v6.0/tree/main/closed/Cisco/results/X210M8_X580P_RTXPro4500_32GBx4_TRT","details")</f>
        <v/>
      </c>
      <c r="Q20" s="2">
        <f>HYPERLINK("https://github.com/mlcommons/submissions_inference_v6.0/tree/main/closed/Cisco/src","code")</f>
        <v/>
      </c>
      <c r="T20" s="1" t="n">
        <v>9277.73</v>
      </c>
      <c r="U20" s="1" t="n">
        <v>9518.66</v>
      </c>
      <c r="V20" s="1" t="n">
        <v>6883.94</v>
      </c>
      <c r="AD20" s="1" t="n">
        <v>3877.67</v>
      </c>
    </row>
    <row r="21">
      <c r="A21" s="2" t="inlineStr">
        <is>
          <t>6.1-0018</t>
        </is>
      </c>
      <c r="B21" s="2" t="inlineStr">
        <is>
          <t>datacenter/closed/Cisco/X210M8_X580P_RTXPro6000_96GBx4_TRT</t>
        </is>
      </c>
      <c r="C21" s="2" t="inlineStr">
        <is>
          <t>availableCisco</t>
        </is>
      </c>
      <c r="D21" s="2" t="n"/>
      <c r="E21" s="2" t="inlineStr">
        <is>
          <t>Cisco</t>
        </is>
      </c>
      <c r="F21" s="2" t="inlineStr">
        <is>
          <t>available</t>
        </is>
      </c>
      <c r="G21" s="2" t="inlineStr">
        <is>
          <t>Cisco UCS X210c M8 - X580P PCIe Node (4x RTXPro6000-PCIe-96GB, TensorRT)</t>
        </is>
      </c>
      <c r="H21" s="2" t="n">
        <v>1</v>
      </c>
      <c r="I21" s="2" t="inlineStr">
        <is>
          <t>Intel(R) Xeon(R) 6747P</t>
        </is>
      </c>
      <c r="J21" s="2" t="n">
        <v>2</v>
      </c>
      <c r="K21" s="2" t="inlineStr">
        <is>
          <t>NVIDIA RTX PRO 6000 Blackwell Server Edition</t>
        </is>
      </c>
      <c r="L21" s="2" t="n">
        <v>4</v>
      </c>
      <c r="M21" s="2" t="n">
        <v>4</v>
      </c>
      <c r="N21" s="2" t="inlineStr">
        <is>
          <t>TensorRT 10.14, CUDA 13.1</t>
        </is>
      </c>
      <c r="O21" s="2" t="inlineStr">
        <is>
          <t>NVIDIA RTX PRO 6000 Blackwell Server Edition TGP 600W</t>
        </is>
      </c>
      <c r="P21" s="2">
        <f>HYPERLINK("https://github.com/mlcommons/submissions_inference_v6.0/tree/main/closed/Cisco/results/X210M8_X580P_RTXPro6000_96GBx4_TRT","details")</f>
        <v/>
      </c>
      <c r="Q21" s="2">
        <f>HYPERLINK("https://github.com/mlcommons/submissions_inference_v6.0/tree/main/closed/Cisco/src","code")</f>
        <v/>
      </c>
      <c r="W21" s="1" t="n">
        <v>14333.3</v>
      </c>
      <c r="X21" s="1" t="n">
        <v>14860.7</v>
      </c>
      <c r="AJ21" s="1" t="n">
        <v>6950.76</v>
      </c>
      <c r="AK21" s="1" t="n">
        <v>7801.36</v>
      </c>
    </row>
    <row r="22">
      <c r="A22" s="2" t="inlineStr">
        <is>
          <t>6.1-0019</t>
        </is>
      </c>
      <c r="B22" s="2" t="inlineStr">
        <is>
          <t>datacenter/closed/Cisco/X215M8_X580P_RTXPro6000_96GBx4_TRT</t>
        </is>
      </c>
      <c r="C22" s="2" t="inlineStr">
        <is>
          <t>availableCisco</t>
        </is>
      </c>
      <c r="D22" s="2" t="n"/>
      <c r="E22" s="2" t="inlineStr">
        <is>
          <t>Cisco</t>
        </is>
      </c>
      <c r="F22" s="2" t="inlineStr">
        <is>
          <t>available</t>
        </is>
      </c>
      <c r="G22" s="2" t="inlineStr">
        <is>
          <t>Cisco UCS X215c M8 - X580P PCIe Node (4x RTXPro6000-PCIe-96GB, TensorRT)</t>
        </is>
      </c>
      <c r="H22" s="2" t="n">
        <v>1</v>
      </c>
      <c r="I22" s="2" t="inlineStr">
        <is>
          <t>AMD EPYC 9845</t>
        </is>
      </c>
      <c r="J22" s="2" t="n">
        <v>2</v>
      </c>
      <c r="K22" s="2" t="inlineStr">
        <is>
          <t>NVIDIA RTX PRO 6000 Blackwell Server Edition</t>
        </is>
      </c>
      <c r="L22" s="2" t="n">
        <v>4</v>
      </c>
      <c r="M22" s="2" t="n">
        <v>4</v>
      </c>
      <c r="N22" s="2" t="inlineStr">
        <is>
          <t>TensorRT 10.14, CUDA 13.1</t>
        </is>
      </c>
      <c r="O22" s="2" t="inlineStr">
        <is>
          <t>NVIDIA RTX PRO 6000 Blackwell Server Edition TGP 600W</t>
        </is>
      </c>
      <c r="P22" s="2">
        <f>HYPERLINK("https://github.com/mlcommons/submissions_inference_v6.0/tree/main/closed/Cisco/results/X215M8_X580P_RTXPro6000_96GBx4_TRT","details")</f>
        <v/>
      </c>
      <c r="Q22" s="2">
        <f>HYPERLINK("https://github.com/mlcommons/submissions_inference_v6.0/tree/main/closed/Cisco/src","code")</f>
        <v/>
      </c>
      <c r="T22" s="1" t="n">
        <v>24498.6</v>
      </c>
      <c r="U22" s="1" t="n">
        <v>24913.5</v>
      </c>
      <c r="V22" s="1" t="n">
        <v>22447</v>
      </c>
      <c r="AD22" s="1" t="n">
        <v>9236.940000000001</v>
      </c>
    </row>
    <row r="23">
      <c r="A23" s="2" t="inlineStr">
        <is>
          <t>6.1-0020</t>
        </is>
      </c>
      <c r="B23" s="2" t="inlineStr">
        <is>
          <t>datacenter/closed/Cisco/X410M8_1_node_4S_GNR_86C</t>
        </is>
      </c>
      <c r="C23" s="2" t="inlineStr">
        <is>
          <t>availableCisco</t>
        </is>
      </c>
      <c r="D23" s="2" t="n"/>
      <c r="E23" s="2" t="inlineStr">
        <is>
          <t>Cisco</t>
        </is>
      </c>
      <c r="F23" s="2" t="inlineStr">
        <is>
          <t>available</t>
        </is>
      </c>
      <c r="G23" s="2" t="inlineStr">
        <is>
          <t>X410M8_1_node_4S_GNR_86C</t>
        </is>
      </c>
      <c r="H23" s="2" t="n">
        <v>1</v>
      </c>
      <c r="I23" s="2" t="inlineStr">
        <is>
          <t>Intel(R) Xeon(R) 6788P</t>
        </is>
      </c>
      <c r="J23" s="2" t="n">
        <v>4</v>
      </c>
      <c r="K23" s="2" t="n"/>
      <c r="L23" s="2" t="n"/>
      <c r="M23" s="2" t="n">
        <v>0</v>
      </c>
      <c r="N23" s="2" t="inlineStr">
        <is>
          <t>PyTorch</t>
        </is>
      </c>
      <c r="O23" s="2" t="n"/>
      <c r="P23" s="2">
        <f>HYPERLINK("https://github.com/mlcommons/submissions_inference_v6.0/tree/main/closed/Cisco/results/X410M8_1_node_4S_GNR_86C","details")</f>
        <v/>
      </c>
      <c r="Q23" s="2">
        <f>HYPERLINK("https://github.com/mlcommons/submissions_inference_v6.0/tree/main/closed/Cisco/src","code")</f>
        <v/>
      </c>
      <c r="T23" s="1" t="n">
        <v>1030.45</v>
      </c>
      <c r="U23" s="1" t="n">
        <v>2068.63</v>
      </c>
      <c r="AD23" s="1" t="n">
        <v>2970.57</v>
      </c>
    </row>
    <row r="24">
      <c r="A24" s="2" t="inlineStr">
        <is>
          <t>6.1-0021</t>
        </is>
      </c>
      <c r="B24" s="2" t="inlineStr">
        <is>
          <t>datacenter/closed/CoreWeave/B200-SXM-180GBx8_TRT</t>
        </is>
      </c>
      <c r="C24" s="2" t="inlineStr">
        <is>
          <t>availableCoreWeave</t>
        </is>
      </c>
      <c r="D24" s="2" t="n"/>
      <c r="E24" s="2" t="inlineStr">
        <is>
          <t>CoreWeave</t>
        </is>
      </c>
      <c r="F24" s="2" t="inlineStr">
        <is>
          <t>available</t>
        </is>
      </c>
      <c r="G24" s="2" t="inlineStr">
        <is>
          <t>CoreWeave B200 SXM (8x B200-SXM-180GB)</t>
        </is>
      </c>
      <c r="H24" s="2" t="n">
        <v>1</v>
      </c>
      <c r="I24" s="2" t="inlineStr">
        <is>
          <t>Intel(R) Xeon(R) Platinum 8562Y+</t>
        </is>
      </c>
      <c r="J24" s="2" t="n">
        <v>2</v>
      </c>
      <c r="K24" s="2" t="inlineStr">
        <is>
          <t>NVIDIA B200-SXM-180GB</t>
        </is>
      </c>
      <c r="L24" s="2" t="n">
        <v>8</v>
      </c>
      <c r="M24" s="2" t="n">
        <v>8</v>
      </c>
      <c r="N24" s="2" t="inlineStr">
        <is>
          <t>TensorRT-LLM feat/1.2-mlpinf, NVIDIA Dynamo mlperf-v6.0-dynamo-v0.8.0</t>
        </is>
      </c>
      <c r="O24" s="2" t="inlineStr">
        <is>
          <t>B200 TGP 1000W</t>
        </is>
      </c>
      <c r="P24" s="2">
        <f>HYPERLINK("https://github.com/mlcommons/submissions_inference_v6.0/tree/main/closed/CoreWeave/results/B200-SXM-180GBx8_TRT","details")</f>
        <v/>
      </c>
      <c r="Q24" s="2">
        <f>HYPERLINK("https://github.com/mlcommons/submissions_inference_v6.0/tree/main/closed/CoreWeave/src","code")</f>
        <v/>
      </c>
      <c r="W24" s="1" t="n">
        <v>102398</v>
      </c>
      <c r="X24" s="1" t="n">
        <v>102703</v>
      </c>
      <c r="AA24" s="1" t="n">
        <v>56121.3</v>
      </c>
      <c r="AB24" s="1" t="n">
        <v>58913.2</v>
      </c>
      <c r="AJ24" s="1" t="n">
        <v>90204.7</v>
      </c>
      <c r="AK24" s="1" t="n">
        <v>91487.39999999999</v>
      </c>
    </row>
    <row r="25">
      <c r="A25" s="2" t="inlineStr">
        <is>
          <t>6.1-0022</t>
        </is>
      </c>
      <c r="B25" s="2" t="inlineStr">
        <is>
          <t>datacenter/closed/CoreWeave/B300-SXM-270GBx8_TRT</t>
        </is>
      </c>
      <c r="C25" s="2" t="inlineStr">
        <is>
          <t>availableCoreWeave</t>
        </is>
      </c>
      <c r="D25" s="2" t="n"/>
      <c r="E25" s="2" t="inlineStr">
        <is>
          <t>CoreWeave</t>
        </is>
      </c>
      <c r="F25" s="2" t="inlineStr">
        <is>
          <t>available</t>
        </is>
      </c>
      <c r="G25" s="2" t="inlineStr">
        <is>
          <t>CoreWeave B300 SXM (8x B300-SXM-270GB)</t>
        </is>
      </c>
      <c r="H25" s="2" t="n">
        <v>1</v>
      </c>
      <c r="I25" s="2" t="inlineStr">
        <is>
          <t>Intel(R) Xeon(R) 6747P</t>
        </is>
      </c>
      <c r="J25" s="2" t="n">
        <v>2</v>
      </c>
      <c r="K25" s="2" t="inlineStr">
        <is>
          <t>NVIDIA B300-SXM-270GB</t>
        </is>
      </c>
      <c r="L25" s="2" t="n">
        <v>8</v>
      </c>
      <c r="M25" s="2" t="n">
        <v>8</v>
      </c>
      <c r="N25" s="2" t="inlineStr">
        <is>
          <t>TensorRT-LLM feat/1.2-mlpinf, NVIDIA Dynamo mlperf-v6.0-dynamo-v0.8.0, vLLM CentML:mlperf-inf-mm-q3vl-v6.0</t>
        </is>
      </c>
      <c r="O25" s="2" t="inlineStr">
        <is>
          <t>B300 TGP 1100W</t>
        </is>
      </c>
      <c r="P25" s="2">
        <f>HYPERLINK("https://github.com/mlcommons/submissions_inference_v6.0/tree/main/closed/CoreWeave/results/B300-SXM-270GBx8_TRT","details")</f>
        <v/>
      </c>
      <c r="Q25" s="2">
        <f>HYPERLINK("https://github.com/mlcommons/submissions_inference_v6.0/tree/main/closed/CoreWeave/src","code")</f>
        <v/>
      </c>
      <c r="W25" s="1" t="n">
        <v>114576</v>
      </c>
      <c r="X25" s="1" t="n">
        <v>115530</v>
      </c>
      <c r="AJ25" s="1" t="n">
        <v>111247</v>
      </c>
      <c r="AK25" s="1" t="n">
        <v>112840</v>
      </c>
    </row>
    <row r="26">
      <c r="A26" s="2" t="inlineStr">
        <is>
          <t>6.1-0023</t>
        </is>
      </c>
      <c r="B26" s="2" t="inlineStr">
        <is>
          <t>datacenter/closed/CoreWeave/GB200-NVL72_GB200-186GB_aarch64x72_TRT</t>
        </is>
      </c>
      <c r="C26" s="2" t="inlineStr">
        <is>
          <t>availableCoreWeave</t>
        </is>
      </c>
      <c r="D26" s="2" t="n"/>
      <c r="E26" s="2" t="inlineStr">
        <is>
          <t>CoreWeave</t>
        </is>
      </c>
      <c r="F26" s="2" t="inlineStr">
        <is>
          <t>available</t>
        </is>
      </c>
      <c r="G26" s="2" t="inlineStr">
        <is>
          <t>CoreWeave GB200 NVL72 (72x GB200-186GB_aarch64)</t>
        </is>
      </c>
      <c r="H26" s="2" t="n">
        <v>18</v>
      </c>
      <c r="I26" s="2" t="inlineStr">
        <is>
          <t>NVIDIA Grace (Neoverse-V2)</t>
        </is>
      </c>
      <c r="J26" s="2" t="n">
        <v>2</v>
      </c>
      <c r="K26" s="2" t="inlineStr">
        <is>
          <t>NVIDIA GB200</t>
        </is>
      </c>
      <c r="L26" s="2" t="n">
        <v>4</v>
      </c>
      <c r="M26" s="2" t="n">
        <v>72</v>
      </c>
      <c r="N26" s="2" t="inlineStr">
        <is>
          <t>TensorRT-LLM feat/1.2-mlpinf, NVIDIA Dynamo mlperf-v6.0-dynamo-v0.8.0</t>
        </is>
      </c>
      <c r="O26" s="2" t="inlineStr">
        <is>
          <t>GB200 TGP 1200W</t>
        </is>
      </c>
      <c r="P26" s="2">
        <f>HYPERLINK("https://github.com/mlcommons/submissions_inference_v6.0/tree/main/closed/CoreWeave/results/GB200-NVL72_GB200-186GB_aarch64x72_TRT","details")</f>
        <v/>
      </c>
      <c r="Q26" s="2">
        <f>HYPERLINK("https://github.com/mlcommons/submissions_inference_v6.0/tree/main/closed/CoreWeave/src","code")</f>
        <v/>
      </c>
      <c r="W26" s="1" t="n">
        <v>910621</v>
      </c>
      <c r="X26" s="1" t="n">
        <v>894002</v>
      </c>
      <c r="AA26" s="1" t="n">
        <v>419778</v>
      </c>
      <c r="AB26" s="1" t="n">
        <v>529991</v>
      </c>
      <c r="AJ26" s="1" t="n">
        <v>901058</v>
      </c>
      <c r="AK26" s="1" t="n">
        <v>911566</v>
      </c>
    </row>
    <row r="27">
      <c r="A27" s="2" t="inlineStr">
        <is>
          <t>6.1-0024</t>
        </is>
      </c>
      <c r="B27" s="2" t="inlineStr">
        <is>
          <t>datacenter/closed/CoreWeave/GB300-NVL72_GB300-288GB_aarch64x4_TRT</t>
        </is>
      </c>
      <c r="C27" s="2" t="inlineStr">
        <is>
          <t>availableCoreWeave</t>
        </is>
      </c>
      <c r="D27" s="2" t="n"/>
      <c r="E27" s="2" t="inlineStr">
        <is>
          <t>CoreWeave</t>
        </is>
      </c>
      <c r="F27" s="2" t="inlineStr">
        <is>
          <t>available</t>
        </is>
      </c>
      <c r="G27" s="2" t="inlineStr">
        <is>
          <t>CoreWeave GB300 NVL72 (4x GB300-288GB_aarch64)</t>
        </is>
      </c>
      <c r="H27" s="2" t="n">
        <v>1</v>
      </c>
      <c r="I27" s="2" t="inlineStr">
        <is>
          <t>NVIDIA Grace (Neoverse-V2)</t>
        </is>
      </c>
      <c r="J27" s="2" t="n">
        <v>2</v>
      </c>
      <c r="K27" s="2" t="inlineStr">
        <is>
          <t>NVIDIA GB300</t>
        </is>
      </c>
      <c r="L27" s="2" t="n">
        <v>4</v>
      </c>
      <c r="M27" s="2" t="n">
        <v>4</v>
      </c>
      <c r="N27" s="2" t="inlineStr">
        <is>
          <t>vLLM CentML:mlperf-inf-mm-q3vl-v6.0, NVIDIA Dynamo mlperf-v6.0-dynamo-v0.8.0</t>
        </is>
      </c>
      <c r="O27" s="2" t="inlineStr">
        <is>
          <t>Single 4-GPU GB300 node, TGP 1400W per GPU</t>
        </is>
      </c>
      <c r="P27" s="2">
        <f>HYPERLINK("https://github.com/mlcommons/submissions_inference_v6.0/tree/main/closed/CoreWeave/results/GB300-NVL72_GB300-288GB_aarch64x4_TRT","details")</f>
        <v/>
      </c>
      <c r="Q27" s="2">
        <f>HYPERLINK("https://github.com/mlcommons/submissions_inference_v6.0/tree/main/closed/CoreWeave/src","code")</f>
        <v/>
      </c>
      <c r="AG27" s="1" t="n">
        <v>64.13202030676248</v>
      </c>
      <c r="AH27" s="1" t="n">
        <v>72.59800294104302</v>
      </c>
    </row>
    <row r="28">
      <c r="A28" s="2" t="inlineStr">
        <is>
          <t>6.1-0025</t>
        </is>
      </c>
      <c r="B28" s="2" t="inlineStr">
        <is>
          <t>datacenter/closed/CoreWeave/GB300-NVL72_GB300-288GB_aarch64x72_TRT</t>
        </is>
      </c>
      <c r="C28" s="2" t="inlineStr">
        <is>
          <t>availableCoreWeave</t>
        </is>
      </c>
      <c r="D28" s="2" t="n"/>
      <c r="E28" s="2" t="inlineStr">
        <is>
          <t>CoreWeave</t>
        </is>
      </c>
      <c r="F28" s="2" t="inlineStr">
        <is>
          <t>available</t>
        </is>
      </c>
      <c r="G28" s="2" t="inlineStr">
        <is>
          <t>CoreWeave GB300 NVL72 (72x GB300-288GB_aarch64)</t>
        </is>
      </c>
      <c r="H28" s="2" t="n">
        <v>18</v>
      </c>
      <c r="I28" s="2" t="inlineStr">
        <is>
          <t>NVIDIA Grace (Neoverse-V2)</t>
        </is>
      </c>
      <c r="J28" s="2" t="n">
        <v>2</v>
      </c>
      <c r="K28" s="2" t="inlineStr">
        <is>
          <t>NVIDIA GB300</t>
        </is>
      </c>
      <c r="L28" s="2" t="n">
        <v>4</v>
      </c>
      <c r="M28" s="2" t="n">
        <v>72</v>
      </c>
      <c r="N28" s="2" t="inlineStr">
        <is>
          <t>TensorRT-LLM feat/1.2-mlpinf, NVIDIA Dynamo mlperf-v6.0-dynamo-v0.8.0, vLLM CentML:mlperf-inf-mm-q3vl-v6.0</t>
        </is>
      </c>
      <c r="O28" s="2" t="inlineStr">
        <is>
          <t>GB300 TGP 1400W</t>
        </is>
      </c>
      <c r="P28" s="2">
        <f>HYPERLINK("https://github.com/mlcommons/submissions_inference_v6.0/tree/main/closed/CoreWeave/results/GB300-NVL72_GB300-288GB_aarch64x72_TRT","details")</f>
        <v/>
      </c>
      <c r="Q28" s="2">
        <f>HYPERLINK("https://github.com/mlcommons/submissions_inference_v6.0/tree/main/closed/CoreWeave/src","code")</f>
        <v/>
      </c>
      <c r="W28" s="1" t="n">
        <v>944902</v>
      </c>
      <c r="X28" s="1" t="n">
        <v>1136100</v>
      </c>
      <c r="AG28" s="1" t="n">
        <v>1195.590758633778</v>
      </c>
      <c r="AH28" s="1" t="n">
        <v>1135.25001579439</v>
      </c>
      <c r="AJ28" s="1" t="n">
        <v>1160490</v>
      </c>
      <c r="AK28" s="1" t="n">
        <v>1197710</v>
      </c>
    </row>
    <row r="29">
      <c r="A29" s="2" t="inlineStr">
        <is>
          <t>6.1-0026</t>
        </is>
      </c>
      <c r="B29" s="2" t="inlineStr">
        <is>
          <t>datacenter/closed/Crusoe/512xMI355X_Crusoe_DS</t>
        </is>
      </c>
      <c r="C29" s="2" t="inlineStr">
        <is>
          <t>availableCrusoe</t>
        </is>
      </c>
      <c r="D29" s="2" t="n"/>
      <c r="E29" s="2" t="inlineStr">
        <is>
          <t>Crusoe</t>
        </is>
      </c>
      <c r="F29" s="2" t="inlineStr">
        <is>
          <t>available</t>
        </is>
      </c>
      <c r="G29" s="2" t="inlineStr">
        <is>
          <t>Crusoe Cloud 64x8 MI355X (512 GPU) — DeepSeek-R1 / SGLang</t>
        </is>
      </c>
      <c r="H29" s="2" t="n">
        <v>64</v>
      </c>
      <c r="I29" s="2" t="inlineStr">
        <is>
          <t>AMD EPYC 9575F</t>
        </is>
      </c>
      <c r="J29" s="2" t="n">
        <v>2</v>
      </c>
      <c r="K29" s="2" t="inlineStr">
        <is>
          <t>AMD Instinct MI355X 288GB HBM3e</t>
        </is>
      </c>
      <c r="L29" s="2" t="n">
        <v>8</v>
      </c>
      <c r="M29" s="2" t="n">
        <v>512</v>
      </c>
      <c r="N29" s="2" t="inlineStr">
        <is>
          <t>SGLang 0.5.15.post1 (ROCm 7.2.0), PyTorch 2.x</t>
        </is>
      </c>
      <c r="O29" s="2" t="inlineStr">
        <is>
          <t>Crusoe Cloud mi355x-288gb-roce.8x, 64 nodes = 512 MI355X GPUs. First-ever 512-GPU DeepSeek-R1 (Offline + Server).. AMD MLPerf Inference v6.1 DeepSeek-R1 harness (SGLang backend). Model amd/Deepseek-S3_sq_a05_v2_mlperf6_1 — MXFP4 experts / FP8 KV cache / BF16 MLA-absorb. Per node TP8 / EP8 / DP-attention8 / PP1 (one 8-GPU replica); device_count=512. Server uses engine warmup (dsr_code6_1 WarmUp.ENCODED_SAMPLES) + prefill-delayer for TTFT/TPOT.</t>
        </is>
      </c>
      <c r="P29" s="2">
        <f>HYPERLINK("https://github.com/mlcommons/submissions_inference_v6.0/tree/main/closed/Crusoe/results/512xMI355X_Crusoe_DS","details")</f>
        <v/>
      </c>
      <c r="Q29" s="2">
        <f>HYPERLINK("https://github.com/mlcommons/submissions_inference_v6.0/tree/main/closed/Crusoe/src","code")</f>
        <v/>
      </c>
      <c r="AA29" s="1" t="n">
        <v>2405310</v>
      </c>
      <c r="AB29" s="1" t="n">
        <v>2901950</v>
      </c>
    </row>
    <row r="30">
      <c r="A30" s="2" t="inlineStr">
        <is>
          <t>6.1-0027</t>
        </is>
      </c>
      <c r="B30" s="2" t="inlineStr">
        <is>
          <t>datacenter/closed/Crusoe/512xMI355X_Crusoe_GPT</t>
        </is>
      </c>
      <c r="C30" s="2" t="inlineStr">
        <is>
          <t>availableCrusoe</t>
        </is>
      </c>
      <c r="D30" s="2" t="n"/>
      <c r="E30" s="2" t="inlineStr">
        <is>
          <t>Crusoe</t>
        </is>
      </c>
      <c r="F30" s="2" t="inlineStr">
        <is>
          <t>available</t>
        </is>
      </c>
      <c r="G30" s="2" t="inlineStr">
        <is>
          <t>Crusoe Cloud 64x8 MI355X (512 GPU) — gpt-oss-120b / vLLM</t>
        </is>
      </c>
      <c r="H30" s="2" t="n">
        <v>64</v>
      </c>
      <c r="I30" s="2" t="inlineStr">
        <is>
          <t>AMD EPYC 9575F</t>
        </is>
      </c>
      <c r="J30" s="2" t="n">
        <v>2</v>
      </c>
      <c r="K30" s="2" t="inlineStr">
        <is>
          <t>AMD Instinct MI355X 288GB HBM3e</t>
        </is>
      </c>
      <c r="L30" s="2" t="n">
        <v>8</v>
      </c>
      <c r="M30" s="2" t="n">
        <v>512</v>
      </c>
      <c r="N30" s="2" t="inlineStr">
        <is>
          <t>vLLM 0.22.1 (ROCm 7.2.2), PyTorch 2.10</t>
        </is>
      </c>
      <c r="O30" s="2" t="inlineStr">
        <is>
          <t>Crusoe Cloud mi355x-288gb-roce.8x, 64 nodes = 512 MI355X GPUs. First-ever 512-GPU gpt-oss-120b (Offline + Server).. AMD MLPerf Inference v6.1 gpt-oss-120b harness (vLLM backend). Native-MXFP4 model openai/gpt-oss-120b@b5c939d (NOT the v6.0 Quark repack). tensor_parallel_size=1 (one GPU per replica, 8 replicas/node); device_count=512. Dedicated ZMQ head dispatches Offline sample-ranges / Server per-query and relays token streams.</t>
        </is>
      </c>
      <c r="P30" s="2">
        <f>HYPERLINK("https://github.com/mlcommons/submissions_inference_v6.0/tree/main/closed/Crusoe/results/512xMI355X_Crusoe_GPT","details")</f>
        <v/>
      </c>
      <c r="Q30" s="2">
        <f>HYPERLINK("https://github.com/mlcommons/submissions_inference_v6.0/tree/main/closed/Crusoe/src","code")</f>
        <v/>
      </c>
      <c r="AJ30" s="1" t="n">
        <v>5392930</v>
      </c>
      <c r="AK30" s="1" t="n">
        <v>5749440</v>
      </c>
    </row>
    <row r="31">
      <c r="A31" s="2" t="inlineStr">
        <is>
          <t>6.1-0028</t>
        </is>
      </c>
      <c r="B31" s="2" t="inlineStr">
        <is>
          <t>datacenter/closed/Crusoe/GB200-NVL72_GB200-186GB_aarch64x16_Dynamo</t>
        </is>
      </c>
      <c r="C31" s="2" t="inlineStr">
        <is>
          <t>availableCrusoe</t>
        </is>
      </c>
      <c r="D31" s="2" t="n"/>
      <c r="E31" s="2" t="inlineStr">
        <is>
          <t>Crusoe</t>
        </is>
      </c>
      <c r="F31" s="2" t="inlineStr">
        <is>
          <t>available</t>
        </is>
      </c>
      <c r="G31" s="2" t="inlineStr">
        <is>
          <t>NVIDIA GB200 NVL72 (16x GB200-186GB_aarch64, Dynamo)</t>
        </is>
      </c>
      <c r="H31" s="2" t="n">
        <v>4</v>
      </c>
      <c r="I31" s="2" t="inlineStr">
        <is>
          <t>NVIDIA Grace CPU</t>
        </is>
      </c>
      <c r="J31" s="2" t="n">
        <v>2</v>
      </c>
      <c r="K31" s="2" t="inlineStr">
        <is>
          <t>NVIDIA GB200</t>
        </is>
      </c>
      <c r="L31" s="2" t="n">
        <v>4</v>
      </c>
      <c r="M31" s="2" t="n">
        <v>16</v>
      </c>
      <c r="N31" s="2" t="inlineStr">
        <is>
          <t>NVIDIA Dynamo mlperf-v6.0-dynamo-v0.8.0, vLLM CentML:mlperf-inf-mm-q3vl-v6.0</t>
        </is>
      </c>
      <c r="O31" s="2" t="inlineStr">
        <is>
          <t>NVIDIA GB200 NVL72, 1200W TGP Per GPU</t>
        </is>
      </c>
      <c r="P31" s="2">
        <f>HYPERLINK("https://github.com/mlcommons/submissions_inference_v6.0/tree/main/closed/Crusoe/results/GB200-NVL72_GB200-186GB_aarch64x16_Dynamo","details")</f>
        <v/>
      </c>
      <c r="Q31" s="2">
        <f>HYPERLINK("https://github.com/mlcommons/submissions_inference_v6.0/tree/main/closed/Crusoe/src","code")</f>
        <v/>
      </c>
      <c r="AG31" s="1" t="n">
        <v>198.9444574056901</v>
      </c>
      <c r="AH31" s="1" t="n">
        <v>230.088792881784</v>
      </c>
      <c r="AI31" s="1" t="n">
        <v>39.85079133425917</v>
      </c>
    </row>
    <row r="32">
      <c r="A32" s="2" t="inlineStr">
        <is>
          <t>6.1-0029</t>
        </is>
      </c>
      <c r="B32" s="2" t="inlineStr">
        <is>
          <t>datacenter/closed/Crusoe/GB200-NVL72_GB200-186GB_aarch64x4_Dynamo</t>
        </is>
      </c>
      <c r="C32" s="2" t="inlineStr">
        <is>
          <t>availableCrusoe</t>
        </is>
      </c>
      <c r="D32" s="2" t="n"/>
      <c r="E32" s="2" t="inlineStr">
        <is>
          <t>Crusoe</t>
        </is>
      </c>
      <c r="F32" s="2" t="inlineStr">
        <is>
          <t>available</t>
        </is>
      </c>
      <c r="G32" s="2" t="inlineStr">
        <is>
          <t>NVIDIA GB200 NVL72 (4x GB200-186GB_aarch64, Dynamo)</t>
        </is>
      </c>
      <c r="H32" s="2" t="n">
        <v>1</v>
      </c>
      <c r="I32" s="2" t="inlineStr">
        <is>
          <t>NVIDIA Grace CPU</t>
        </is>
      </c>
      <c r="J32" s="2" t="n">
        <v>2</v>
      </c>
      <c r="K32" s="2" t="inlineStr">
        <is>
          <t>NVIDIA GB200</t>
        </is>
      </c>
      <c r="L32" s="2" t="n">
        <v>4</v>
      </c>
      <c r="M32" s="2" t="n">
        <v>4</v>
      </c>
      <c r="N32" s="2" t="inlineStr">
        <is>
          <t>NVIDIA Dynamo mlperf-v6.0-dynamo-v0.8.0, vLLM CentML:mlperf-inf-mm-q3vl-v6.0</t>
        </is>
      </c>
      <c r="O32" s="2" t="inlineStr">
        <is>
          <t>NVIDIA GB200 NVL72, 1200W TGP Per GPU</t>
        </is>
      </c>
      <c r="P32" s="2">
        <f>HYPERLINK("https://github.com/mlcommons/submissions_inference_v6.0/tree/main/closed/Crusoe/results/GB200-NVL72_GB200-186GB_aarch64x4_Dynamo","details")</f>
        <v/>
      </c>
      <c r="Q32" s="2">
        <f>HYPERLINK("https://github.com/mlcommons/submissions_inference_v6.0/tree/main/closed/Crusoe/src","code")</f>
        <v/>
      </c>
      <c r="AG32" s="1" t="n">
        <v>49.6962883240102</v>
      </c>
      <c r="AH32" s="1" t="n">
        <v>58.39587523885307</v>
      </c>
      <c r="AI32" s="1" t="n">
        <v>3.994056744750478</v>
      </c>
    </row>
    <row r="33">
      <c r="A33" s="2" t="inlineStr">
        <is>
          <t>6.1-0030</t>
        </is>
      </c>
      <c r="B33" s="2" t="inlineStr">
        <is>
          <t>datacenter/closed/Crusoe/GB200-NVL72_GB200-186GB_aarch64x4_TRT</t>
        </is>
      </c>
      <c r="C33" s="2" t="inlineStr">
        <is>
          <t>availableCrusoe</t>
        </is>
      </c>
      <c r="D33" s="2" t="n"/>
      <c r="E33" s="2" t="inlineStr">
        <is>
          <t>Crusoe</t>
        </is>
      </c>
      <c r="F33" s="2" t="inlineStr">
        <is>
          <t>available</t>
        </is>
      </c>
      <c r="G33" s="2" t="inlineStr">
        <is>
          <t>NVIDIA GB200 NVL72 (4x GB200-186GB_aarch64, TensorRT)</t>
        </is>
      </c>
      <c r="H33" s="2" t="n">
        <v>1</v>
      </c>
      <c r="I33" s="2" t="inlineStr">
        <is>
          <t>NVIDIA Grace CPU</t>
        </is>
      </c>
      <c r="J33" s="2" t="n">
        <v>2</v>
      </c>
      <c r="K33" s="2" t="inlineStr">
        <is>
          <t>NVIDIA GB200</t>
        </is>
      </c>
      <c r="L33" s="2" t="n">
        <v>4</v>
      </c>
      <c r="M33" s="2" t="n">
        <v>4</v>
      </c>
      <c r="N33" s="2" t="inlineStr">
        <is>
          <t>TensorRT 10.14, CUDA 13.1, cuDNN 9.17, TensorRT-LLM feat/1.2-mlpinf</t>
        </is>
      </c>
      <c r="O33" s="2" t="inlineStr">
        <is>
          <t>NVIDIA GB200 NVL72, 1200W TGP Per GPU</t>
        </is>
      </c>
      <c r="P33" s="2">
        <f>HYPERLINK("https://github.com/mlcommons/submissions_inference_v6.0/tree/main/closed/Crusoe/results/GB200-NVL72_GB200-186GB_aarch64x4_TRT","details")</f>
        <v/>
      </c>
      <c r="Q33" s="2">
        <f>HYPERLINK("https://github.com/mlcommons/submissions_inference_v6.0/tree/main/closed/Crusoe/src","code")</f>
        <v/>
      </c>
      <c r="AJ33" s="1" t="n">
        <v>50613.5</v>
      </c>
      <c r="AK33" s="1" t="n">
        <v>50912.9</v>
      </c>
    </row>
    <row r="34">
      <c r="A34" s="2" t="inlineStr">
        <is>
          <t>6.1-0031</t>
        </is>
      </c>
      <c r="B34" s="2" t="inlineStr">
        <is>
          <t>datacenter/closed/Dell/1-node-2S-GNR_128C</t>
        </is>
      </c>
      <c r="C34" s="2" t="inlineStr">
        <is>
          <t>availableDell</t>
        </is>
      </c>
      <c r="D34" s="2" t="n"/>
      <c r="E34" s="2" t="inlineStr">
        <is>
          <t>Dell</t>
        </is>
      </c>
      <c r="F34" s="2" t="inlineStr">
        <is>
          <t>available</t>
        </is>
      </c>
      <c r="G34" s="2" t="inlineStr">
        <is>
          <t>PowerEdge R770AP_128C 24x96GB (6400 MT/s)</t>
        </is>
      </c>
      <c r="H34" s="2" t="n">
        <v>1</v>
      </c>
      <c r="I34" s="2" t="inlineStr">
        <is>
          <t>Intel(R) Xeon(R) 6980P</t>
        </is>
      </c>
      <c r="J34" s="2" t="n">
        <v>2</v>
      </c>
      <c r="K34" s="2" t="n"/>
      <c r="L34" s="2" t="n"/>
      <c r="M34" s="2" t="n">
        <v>0</v>
      </c>
      <c r="N34" s="2" t="inlineStr">
        <is>
          <t>PyTorch</t>
        </is>
      </c>
      <c r="O34" s="2" t="n"/>
      <c r="P34" s="2">
        <f>HYPERLINK("https://github.com/mlcommons/submissions_inference_v6.0/tree/main/closed/Dell/results/1-node-2S-GNR_128C","details")</f>
        <v/>
      </c>
      <c r="Q34" s="2">
        <f>HYPERLINK("https://github.com/mlcommons/submissions_inference_v6.0/tree/main/closed/Dell/src","code")</f>
        <v/>
      </c>
      <c r="Z34" s="1" t="n">
        <v>21835.4</v>
      </c>
      <c r="AD34" s="1" t="n">
        <v>2275.93</v>
      </c>
    </row>
    <row r="35">
      <c r="A35" s="2" t="inlineStr">
        <is>
          <t>6.1-0032</t>
        </is>
      </c>
      <c r="B35" s="2" t="inlineStr">
        <is>
          <t>datacenter/closed/Dell/1-node-2S-GNR_86C</t>
        </is>
      </c>
      <c r="C35" s="2" t="inlineStr">
        <is>
          <t>availableDell</t>
        </is>
      </c>
      <c r="D35" s="2" t="n"/>
      <c r="E35" s="2" t="inlineStr">
        <is>
          <t>Dell</t>
        </is>
      </c>
      <c r="F35" s="2" t="inlineStr">
        <is>
          <t>available</t>
        </is>
      </c>
      <c r="G35" s="2" t="inlineStr">
        <is>
          <t>PowerEdge R770_86C 16x64GB (6400 MT/s)</t>
        </is>
      </c>
      <c r="H35" s="2" t="n">
        <v>1</v>
      </c>
      <c r="I35" s="2" t="inlineStr">
        <is>
          <t>Intel(R) Xeon(R) 6787P</t>
        </is>
      </c>
      <c r="J35" s="2" t="n">
        <v>2</v>
      </c>
      <c r="K35" s="2" t="n"/>
      <c r="L35" s="2" t="n"/>
      <c r="M35" s="2" t="n">
        <v>0</v>
      </c>
      <c r="N35" s="2" t="inlineStr">
        <is>
          <t>PyTorch</t>
        </is>
      </c>
      <c r="O35" s="2" t="inlineStr">
        <is>
          <t>Dell PowerEdge R770. vLLM, FP8 KV Cache</t>
        </is>
      </c>
      <c r="P35" s="2">
        <f>HYPERLINK("https://github.com/mlcommons/submissions_inference_v6.0/tree/main/closed/Dell/results/1-node-2S-GNR_86C","details")</f>
        <v/>
      </c>
      <c r="Q35" s="2">
        <f>HYPERLINK("https://github.com/mlcommons/submissions_inference_v6.0/tree/main/closed/Dell/src","code")</f>
        <v/>
      </c>
      <c r="T35" s="1" t="n">
        <v>516.0119999999999</v>
      </c>
      <c r="U35" s="1" t="n">
        <v>1227.99</v>
      </c>
      <c r="Z35" s="1" t="n">
        <v>16042.8</v>
      </c>
      <c r="AD35" s="1" t="n">
        <v>1539.49</v>
      </c>
    </row>
    <row r="36">
      <c r="A36" s="2" t="inlineStr">
        <is>
          <t>6.1-0033</t>
        </is>
      </c>
      <c r="B36" s="2" t="inlineStr">
        <is>
          <t>datacenter/closed/Dell/XE7740_RTXPro6000_PCIe_96GBx8_TRT</t>
        </is>
      </c>
      <c r="C36" s="2" t="inlineStr">
        <is>
          <t>availableDell</t>
        </is>
      </c>
      <c r="D36" s="2" t="n"/>
      <c r="E36" s="2" t="inlineStr">
        <is>
          <t>Dell</t>
        </is>
      </c>
      <c r="F36" s="2" t="inlineStr">
        <is>
          <t>available</t>
        </is>
      </c>
      <c r="G36" s="2" t="inlineStr">
        <is>
          <t>PowerEdge XE7740 (8x RTXPro6000-PCIe-96GB, TensorRT)</t>
        </is>
      </c>
      <c r="H36" s="2" t="n">
        <v>1</v>
      </c>
      <c r="I36" s="2" t="inlineStr">
        <is>
          <t>Intel(R) Xeon(R) 6767P</t>
        </is>
      </c>
      <c r="J36" s="2" t="n">
        <v>2</v>
      </c>
      <c r="K36" s="2" t="inlineStr">
        <is>
          <t>NVIDIA RTX PRO 6000 Blackwell Server Edition</t>
        </is>
      </c>
      <c r="L36" s="2" t="n">
        <v>8</v>
      </c>
      <c r="M36" s="2" t="n">
        <v>8</v>
      </c>
      <c r="N36" s="2" t="inlineStr">
        <is>
          <t>TensorRT 10.14, CUDA 13.1, cuDNN 9.17, TensorRT-LLM feat/1.2-mlpinf, NVIDIA Dynamo mlperf-v6.0-dynamo-v0.8.0, vLLM CentML:mlperf-inf-mm-q3vl-v6.0</t>
        </is>
      </c>
      <c r="O36" s="2" t="inlineStr">
        <is>
          <t>NVIDIA RTX PRO 6000 Blackwell Server Edition TGP 600W</t>
        </is>
      </c>
      <c r="P36" s="2">
        <f>HYPERLINK("https://github.com/mlcommons/submissions_inference_v6.0/tree/main/closed/Dell/results/XE7740_RTXPro6000_PCIe_96GBx8_TRT","details")</f>
        <v/>
      </c>
      <c r="Q36" s="2">
        <f>HYPERLINK("https://github.com/mlcommons/submissions_inference_v6.0/tree/main/closed/Dell/src","code")</f>
        <v/>
      </c>
      <c r="W36" s="1" t="n">
        <v>28973.3</v>
      </c>
      <c r="X36" s="1" t="n">
        <v>29796.7</v>
      </c>
    </row>
    <row r="37">
      <c r="A37" s="2" t="inlineStr">
        <is>
          <t>6.1-0034</t>
        </is>
      </c>
      <c r="B37" s="2" t="inlineStr">
        <is>
          <t>datacenter/closed/Dell/XE7745_RTXPRO4500_32GBx8_TRT</t>
        </is>
      </c>
      <c r="C37" s="2" t="inlineStr">
        <is>
          <t>availableDell</t>
        </is>
      </c>
      <c r="D37" s="2" t="n"/>
      <c r="E37" s="2" t="inlineStr">
        <is>
          <t>Dell</t>
        </is>
      </c>
      <c r="F37" s="2" t="inlineStr">
        <is>
          <t>available</t>
        </is>
      </c>
      <c r="G37" s="2" t="inlineStr">
        <is>
          <t>PowerEdge XE7745 (8x NVIDIA RTX PRO 4500 Blackwell, TensorRT)</t>
        </is>
      </c>
      <c r="H37" s="2" t="n">
        <v>1</v>
      </c>
      <c r="I37" s="2" t="inlineStr">
        <is>
          <t>AMD EPYC 9655</t>
        </is>
      </c>
      <c r="J37" s="2" t="n">
        <v>1</v>
      </c>
      <c r="K37" s="2" t="inlineStr">
        <is>
          <t>NVIDIA RTX PRO 4500 Blackwell</t>
        </is>
      </c>
      <c r="L37" s="2" t="n">
        <v>8</v>
      </c>
      <c r="M37" s="2" t="n">
        <v>8</v>
      </c>
      <c r="N37" s="2" t="inlineStr">
        <is>
          <t>TensorRT 10.14, CUDA 13.3</t>
        </is>
      </c>
      <c r="O37" s="2" t="n"/>
      <c r="P37" s="2">
        <f>HYPERLINK("https://github.com/mlcommons/submissions_inference_v6.0/tree/main/closed/Dell/results/XE7745_RTXPRO4500_32GBx8_TRT","details")</f>
        <v/>
      </c>
      <c r="Q37" s="2">
        <f>HYPERLINK("https://github.com/mlcommons/submissions_inference_v6.0/tree/main/closed/Dell/src","code")</f>
        <v/>
      </c>
      <c r="W37" s="1" t="n">
        <v>3012.33</v>
      </c>
      <c r="X37" s="1" t="n">
        <v>4374.06</v>
      </c>
    </row>
    <row r="38">
      <c r="A38" s="2" t="inlineStr">
        <is>
          <t>6.1-0035</t>
        </is>
      </c>
      <c r="B38" s="2" t="inlineStr">
        <is>
          <t>datacenter/closed/Dell/XE9712x18</t>
        </is>
      </c>
      <c r="C38" s="2" t="inlineStr">
        <is>
          <t>availableDell</t>
        </is>
      </c>
      <c r="D38" s="2" t="n"/>
      <c r="E38" s="2" t="inlineStr">
        <is>
          <t>Dell</t>
        </is>
      </c>
      <c r="F38" s="2" t="inlineStr">
        <is>
          <t>available</t>
        </is>
      </c>
      <c r="G38" s="2" t="inlineStr">
        <is>
          <t>Dell PowerEdge XE9712</t>
        </is>
      </c>
      <c r="H38" s="2" t="n">
        <v>18</v>
      </c>
      <c r="I38" s="2" t="inlineStr">
        <is>
          <t>NVIDIA Grace CPU</t>
        </is>
      </c>
      <c r="J38" s="2" t="n">
        <v>2</v>
      </c>
      <c r="K38" s="2" t="inlineStr">
        <is>
          <t>NVIDIA GB300</t>
        </is>
      </c>
      <c r="L38" s="2" t="n">
        <v>4</v>
      </c>
      <c r="M38" s="2" t="n">
        <v>72</v>
      </c>
      <c r="N38" s="2" t="inlineStr">
        <is>
          <t>TensorRT 10.14, CUDA 13.1, cuDNN 9.17, TensorRT-LLM feat/1.2-mlpinf, NVIDIA Dynamo mlperf-v6.0-dynamo-v0.8.0, vLLM CentML:mlperf-inf-mm-q3vl-v6.0</t>
        </is>
      </c>
      <c r="O38" s="2" t="inlineStr">
        <is>
          <t>NVIDIA GB300 NVL72, 1400W TGP Per GPU</t>
        </is>
      </c>
      <c r="P38" s="2">
        <f>HYPERLINK("https://github.com/mlcommons/submissions_inference_v6.0/tree/main/closed/Dell/results/XE9712x18","details")</f>
        <v/>
      </c>
      <c r="Q38" s="2">
        <f>HYPERLINK("https://github.com/mlcommons/submissions_inference_v6.0/tree/main/closed/Dell/src","code")</f>
        <v/>
      </c>
      <c r="AE38" s="1" t="n">
        <v>10.58500054065278</v>
      </c>
      <c r="AF38" s="1" t="n">
        <v>0.6455254875195523</v>
      </c>
    </row>
    <row r="39">
      <c r="A39" s="2" t="inlineStr">
        <is>
          <t>6.1-0036</t>
        </is>
      </c>
      <c r="B39" s="2" t="inlineStr">
        <is>
          <t>datacenter/closed/Dell/XE9780-B300-SXM-270GBx8_TRT</t>
        </is>
      </c>
      <c r="C39" s="2" t="inlineStr">
        <is>
          <t>availableDell</t>
        </is>
      </c>
      <c r="D39" s="2" t="n"/>
      <c r="E39" s="2" t="inlineStr">
        <is>
          <t>Dell</t>
        </is>
      </c>
      <c r="F39" s="2" t="inlineStr">
        <is>
          <t>available</t>
        </is>
      </c>
      <c r="G39" s="2" t="inlineStr">
        <is>
          <t>Dell XE9780 (8x B300-SXM-270GB, TensorRT)</t>
        </is>
      </c>
      <c r="H39" s="2" t="n">
        <v>1</v>
      </c>
      <c r="I39" s="2" t="inlineStr">
        <is>
          <t>Intel(R) Xeon(R) 6747P</t>
        </is>
      </c>
      <c r="J39" s="2" t="n">
        <v>2</v>
      </c>
      <c r="K39" s="2" t="inlineStr">
        <is>
          <t>Nvidia B300-SXM-270GB</t>
        </is>
      </c>
      <c r="L39" s="2" t="n">
        <v>8</v>
      </c>
      <c r="M39" s="2" t="n">
        <v>8</v>
      </c>
      <c r="N39" s="2" t="inlineStr">
        <is>
          <t>TensorRT 10.14, CUDA 13.1, cuDNN 9.17, TensorRT-LLM feat/1.2-mlpinf, Dell Dynamo mlperf-v6.0-dynamo-v0.8.0, vLLM CentML:mlperf-inf-mm-q3vl-v6.0</t>
        </is>
      </c>
      <c r="O39" s="2" t="inlineStr">
        <is>
          <t>B300 TGP 1100W</t>
        </is>
      </c>
      <c r="P39" s="2">
        <f>HYPERLINK("https://github.com/mlcommons/submissions_inference_v6.0/tree/main/closed/Dell/results/XE9780-B300-SXM-270GBx8_TRT","details")</f>
        <v/>
      </c>
      <c r="Q39" s="2">
        <f>HYPERLINK("https://github.com/mlcommons/submissions_inference_v6.0/tree/main/closed/Dell/src","code")</f>
        <v/>
      </c>
      <c r="W39" s="1" t="n">
        <v>96180.60000000001</v>
      </c>
      <c r="X39" s="1" t="n">
        <v>104006</v>
      </c>
      <c r="AJ39" s="1" t="n">
        <v>103332</v>
      </c>
      <c r="AK39" s="1" t="n">
        <v>109257</v>
      </c>
    </row>
    <row r="40">
      <c r="A40" s="2" t="inlineStr">
        <is>
          <t>6.1-0037</t>
        </is>
      </c>
      <c r="B40" s="2" t="inlineStr">
        <is>
          <t>datacenter/closed/Dell/XE9785L_8xMI355X</t>
        </is>
      </c>
      <c r="C40" s="2" t="inlineStr">
        <is>
          <t>availableDell</t>
        </is>
      </c>
      <c r="D40" s="2" t="n"/>
      <c r="E40" s="2" t="inlineStr">
        <is>
          <t>Dell</t>
        </is>
      </c>
      <c r="F40" s="2" t="inlineStr">
        <is>
          <t>available</t>
        </is>
      </c>
      <c r="G40" s="2" t="inlineStr">
        <is>
          <t>XE9785L_8xMI355X</t>
        </is>
      </c>
      <c r="H40" s="2" t="n">
        <v>1</v>
      </c>
      <c r="I40" s="2" t="inlineStr">
        <is>
          <t>AMD EPYC 9655</t>
        </is>
      </c>
      <c r="J40" s="2" t="n">
        <v>2</v>
      </c>
      <c r="K40" s="2" t="inlineStr">
        <is>
          <t>AMD Instinct MI355X 288GB HBM3e</t>
        </is>
      </c>
      <c r="L40" s="2" t="n">
        <v>8</v>
      </c>
      <c r="M40" s="2" t="n">
        <v>8</v>
      </c>
      <c r="N40" s="2" t="inlineStr">
        <is>
          <t>vLLM 0.22.0, PyTorch 2.10.0, ROCm 7.2.2</t>
        </is>
      </c>
      <c r="O40" s="2" t="inlineStr">
        <is>
          <t>8x AMD Instinct MI355X (gfx950), 288GB HBM3E each</t>
        </is>
      </c>
      <c r="P40" s="2">
        <f>HYPERLINK("https://github.com/mlcommons/submissions_inference_v6.0/tree/main/closed/Dell/results/XE9785L_8xMI355X","details")</f>
        <v/>
      </c>
      <c r="Q40" s="2">
        <f>HYPERLINK("https://github.com/mlcommons/submissions_inference_v6.0/tree/main/closed/Dell/src","code")</f>
        <v/>
      </c>
      <c r="T40" s="1" t="n">
        <v>148563</v>
      </c>
      <c r="U40" s="1" t="n">
        <v>158458</v>
      </c>
      <c r="V40" s="1" t="n">
        <v>130540</v>
      </c>
      <c r="W40" s="1" t="n">
        <v>103932</v>
      </c>
      <c r="X40" s="1" t="n">
        <v>103792</v>
      </c>
      <c r="Y40" s="1" t="n">
        <v>73238.10000000001</v>
      </c>
      <c r="AJ40" s="1" t="n">
        <v>110188</v>
      </c>
      <c r="AK40" s="1" t="n">
        <v>117804</v>
      </c>
    </row>
    <row r="41">
      <c r="A41" s="2" t="inlineStr">
        <is>
          <t>6.1-0038</t>
        </is>
      </c>
      <c r="B41" s="2" t="inlineStr">
        <is>
          <t>datacenter/closed/Dell/XE9785L_x86_B300-SXM-270GBx8_TRT</t>
        </is>
      </c>
      <c r="C41" s="2" t="inlineStr">
        <is>
          <t>availableDell</t>
        </is>
      </c>
      <c r="D41" s="2" t="n"/>
      <c r="E41" s="2" t="inlineStr">
        <is>
          <t>Dell</t>
        </is>
      </c>
      <c r="F41" s="2" t="inlineStr">
        <is>
          <t>available</t>
        </is>
      </c>
      <c r="G41" s="2" t="inlineStr">
        <is>
          <t>Dell XE9785L (8x B300-SXM-270GB, TensorRT)</t>
        </is>
      </c>
      <c r="H41" s="2" t="n">
        <v>1</v>
      </c>
      <c r="I41" s="2" t="inlineStr">
        <is>
          <t>AMD EPYC 9965</t>
        </is>
      </c>
      <c r="J41" s="2" t="n">
        <v>2</v>
      </c>
      <c r="K41" s="2" t="inlineStr">
        <is>
          <t>NVIDIA B300-SXM-270GB</t>
        </is>
      </c>
      <c r="L41" s="2" t="n">
        <v>8</v>
      </c>
      <c r="M41" s="2" t="n">
        <v>8</v>
      </c>
      <c r="N41" s="2" t="inlineStr">
        <is>
          <t>TensorRT 10.14, CUDA 13.1, cuDNN 9.17, TensorRT-LLM feat/1.2-mlpinf, NVIDIA Dynamo mlperf-v6.0-dynamo-v0.8.0, vLLM CentML:mlperf-inf-mm-q3vl-v6.0</t>
        </is>
      </c>
      <c r="O41" s="2" t="inlineStr">
        <is>
          <t>B300 TGP 1100W</t>
        </is>
      </c>
      <c r="P41" s="2">
        <f>HYPERLINK("https://github.com/mlcommons/submissions_inference_v6.0/tree/main/closed/Dell/results/XE9785L_x86_B300-SXM-270GBx8_TRT","details")</f>
        <v/>
      </c>
      <c r="Q41" s="2">
        <f>HYPERLINK("https://github.com/mlcommons/submissions_inference_v6.0/tree/main/closed/Dell/src","code")</f>
        <v/>
      </c>
      <c r="W41" s="1" t="n">
        <v>106898</v>
      </c>
      <c r="X41" s="1" t="n">
        <v>113101</v>
      </c>
    </row>
    <row r="42">
      <c r="A42" s="2" t="inlineStr">
        <is>
          <t>6.1-0040</t>
        </is>
      </c>
      <c r="B42" s="2" t="inlineStr">
        <is>
          <t>datacenter/closed/Dell_AMD/XE7745_8xMI350P_2xEPYC-9455</t>
        </is>
      </c>
      <c r="C42" s="2" t="inlineStr">
        <is>
          <t>availableDell_AMD</t>
        </is>
      </c>
      <c r="D42" s="2" t="n"/>
      <c r="E42" s="2" t="inlineStr">
        <is>
          <t>Dell_AMD</t>
        </is>
      </c>
      <c r="F42" s="2" t="inlineStr">
        <is>
          <t>available</t>
        </is>
      </c>
      <c r="G42" s="2" t="inlineStr">
        <is>
          <t>XE7745_8xMI350P_2xEPYC_9455</t>
        </is>
      </c>
      <c r="H42" s="2" t="n">
        <v>1</v>
      </c>
      <c r="I42" s="2" t="inlineStr">
        <is>
          <t>AMD EPYC 9455</t>
        </is>
      </c>
      <c r="J42" s="2" t="n">
        <v>2</v>
      </c>
      <c r="K42" s="2" t="inlineStr">
        <is>
          <t>AMD Instinct MI350P</t>
        </is>
      </c>
      <c r="L42" s="2" t="n">
        <v>8</v>
      </c>
      <c r="M42" s="2" t="n">
        <v>8</v>
      </c>
      <c r="N42" s="2" t="inlineStr">
        <is>
          <t>vLLM 0.22.0, PyTorch 2.10.0, ROCm 7.2.2</t>
        </is>
      </c>
      <c r="O42" s="2" t="inlineStr">
        <is>
          <t>8x AMD Instinct MI350P (gfx950), 144GB HBM3E each. MXFP4 (W4A4) weights with FP8 KV cache, Quark quantization</t>
        </is>
      </c>
      <c r="P42" s="2">
        <f>HYPERLINK("https://github.com/mlcommons/submissions_inference_v6.0/tree/main/closed/Dell_AMD/results/XE7745_8xMI350P_2xEPYC-9455","details")</f>
        <v/>
      </c>
      <c r="Q42" s="2">
        <f>HYPERLINK("https://github.com/mlcommons/submissions_inference_v6.0/tree/main/closed/Dell_AMD/src","code")</f>
        <v/>
      </c>
      <c r="R42" s="1" t="n">
        <v>4503.53</v>
      </c>
      <c r="S42" s="1" t="n">
        <v>4837.63</v>
      </c>
      <c r="T42" s="1" t="n">
        <v>72305.10000000001</v>
      </c>
      <c r="U42" s="1" t="n">
        <v>73643</v>
      </c>
      <c r="V42" s="1" t="n">
        <v>62723.7</v>
      </c>
      <c r="W42" s="1" t="n">
        <v>41830</v>
      </c>
      <c r="X42" s="1" t="n">
        <v>42286.2</v>
      </c>
      <c r="Y42" s="1" t="n">
        <v>22860.5</v>
      </c>
      <c r="AE42" s="1" t="n">
        <v>41.83792310800001</v>
      </c>
      <c r="AF42" s="1" t="n">
        <v>0.0345875</v>
      </c>
      <c r="AJ42" s="1" t="n">
        <v>40867.9</v>
      </c>
      <c r="AK42" s="1" t="n">
        <v>48971.1</v>
      </c>
    </row>
    <row r="43">
      <c r="A43" s="2" t="inlineStr">
        <is>
          <t>6.1-0041</t>
        </is>
      </c>
      <c r="B43" s="2" t="inlineStr">
        <is>
          <t>datacenter/closed/Dell_MangoBoost/2x8xMI355X_2x8xMI300X</t>
        </is>
      </c>
      <c r="C43" s="2" t="inlineStr">
        <is>
          <t>availableDell_MangoBoost</t>
        </is>
      </c>
      <c r="D43" s="2" t="n"/>
      <c r="E43" s="2" t="inlineStr">
        <is>
          <t>Dell_MangoBoost</t>
        </is>
      </c>
      <c r="F43" s="2" t="inlineStr">
        <is>
          <t>available</t>
        </is>
      </c>
      <c r="G43" s="2" t="inlineStr">
        <is>
          <t>Heterogeneous Four-Cluster (2x8x MI300X + 2x8x MI355X, LLMBoost)</t>
        </is>
      </c>
      <c r="H43" s="2" t="n">
        <v>4</v>
      </c>
      <c r="I43" s="2" t="inlineStr">
        <is>
          <t>AMD EPYC 9534 (on MI300X node) and AMD EPYC 9965 (on MI355X node)</t>
        </is>
      </c>
      <c r="J43" s="2" t="n">
        <v>2</v>
      </c>
      <c r="K43" s="2" t="inlineStr">
        <is>
          <t>AMD Instinct MI300X 192GB HBM3 (x2x8) and AMD Instinct MI355X 288GB HBM3e (x2x8)</t>
        </is>
      </c>
      <c r="L43" s="2" t="n">
        <v>8</v>
      </c>
      <c r="M43" s="2" t="n">
        <v>32</v>
      </c>
      <c r="N43" s="2" t="inlineStr">
        <is>
          <t>ROCm</t>
        </is>
      </c>
      <c r="O43" s="2" t="inlineStr">
        <is>
          <t>Heterogeneous Four-Cluster with LLMBoost, vLLM 0.22.1 on MI355X, and vLLM 0.24.0 on MI300X</t>
        </is>
      </c>
      <c r="P43" s="2">
        <f>HYPERLINK("https://github.com/mlcommons/submissions_inference_v6.0/tree/main/closed/Dell_MangoBoost/results/2x8xMI355X_2x8xMI300X","details")</f>
        <v/>
      </c>
      <c r="Q43" s="2">
        <f>HYPERLINK("https://github.com/mlcommons/submissions_inference_v6.0/tree/main/closed/Dell_MangoBoost/src","code")</f>
        <v/>
      </c>
      <c r="AJ43" s="1" t="n">
        <v>253501</v>
      </c>
      <c r="AK43" s="1" t="n">
        <v>285454</v>
      </c>
    </row>
    <row r="44">
      <c r="A44" s="2" t="inlineStr">
        <is>
          <t>6.1-0042</t>
        </is>
      </c>
      <c r="B44" s="2" t="inlineStr">
        <is>
          <t>datacenter/closed/Dell_MangoBoost/XE9785</t>
        </is>
      </c>
      <c r="C44" s="2" t="inlineStr">
        <is>
          <t>availableDell_MangoBoost</t>
        </is>
      </c>
      <c r="D44" s="2" t="n"/>
      <c r="E44" s="2" t="inlineStr">
        <is>
          <t>Dell_MangoBoost</t>
        </is>
      </c>
      <c r="F44" s="2" t="inlineStr">
        <is>
          <t>available</t>
        </is>
      </c>
      <c r="G44" s="2" t="inlineStr">
        <is>
          <t>PowerEdge XE9785</t>
        </is>
      </c>
      <c r="H44" s="2" t="n">
        <v>1</v>
      </c>
      <c r="I44" s="2" t="inlineStr">
        <is>
          <t>AMD EPYC 9965</t>
        </is>
      </c>
      <c r="J44" s="2" t="n">
        <v>2</v>
      </c>
      <c r="K44" s="2" t="inlineStr">
        <is>
          <t>AMD Instinct MI355X 288GB HBM3e</t>
        </is>
      </c>
      <c r="L44" s="2" t="n">
        <v>8</v>
      </c>
      <c r="M44" s="2" t="n">
        <v>8</v>
      </c>
      <c r="N44" s="2" t="inlineStr">
        <is>
          <t>ROCm</t>
        </is>
      </c>
      <c r="O44" s="2" t="inlineStr">
        <is>
          <t>Intra-Node P/D Disaggregation for Interactive Scenario, and vLLM 0.22.1</t>
        </is>
      </c>
      <c r="P44" s="2">
        <f>HYPERLINK("https://github.com/mlcommons/submissions_inference_v6.0/tree/main/closed/Dell_MangoBoost/results/XE9785","details")</f>
        <v/>
      </c>
      <c r="Q44" s="2">
        <f>HYPERLINK("https://github.com/mlcommons/submissions_inference_v6.0/tree/main/closed/Dell_MangoBoost/src","code")</f>
        <v/>
      </c>
      <c r="AJ44" s="1" t="n">
        <v>109065</v>
      </c>
      <c r="AK44" s="1" t="n">
        <v>115294</v>
      </c>
      <c r="AL44" s="1" t="n">
        <v>28265.9</v>
      </c>
    </row>
    <row r="45">
      <c r="A45" s="2" t="inlineStr">
        <is>
          <t>6.1-0043</t>
        </is>
      </c>
      <c r="B45" s="2" t="inlineStr">
        <is>
          <t>datacenter/closed/Dell_MangoBoost/XE9785L</t>
        </is>
      </c>
      <c r="C45" s="2" t="inlineStr">
        <is>
          <t>availableDell_MangoBoost</t>
        </is>
      </c>
      <c r="D45" s="2" t="n"/>
      <c r="E45" s="2" t="inlineStr">
        <is>
          <t>Dell_MangoBoost</t>
        </is>
      </c>
      <c r="F45" s="2" t="inlineStr">
        <is>
          <t>available</t>
        </is>
      </c>
      <c r="G45" s="2" t="inlineStr">
        <is>
          <t>PowerEdge XE9785L</t>
        </is>
      </c>
      <c r="H45" s="2" t="n">
        <v>1</v>
      </c>
      <c r="I45" s="2" t="inlineStr">
        <is>
          <t>AMD EPYC 9965</t>
        </is>
      </c>
      <c r="J45" s="2" t="n">
        <v>2</v>
      </c>
      <c r="K45" s="2" t="inlineStr">
        <is>
          <t>AMD Instinct MI355X 288GB HBM3e</t>
        </is>
      </c>
      <c r="L45" s="2" t="n">
        <v>8</v>
      </c>
      <c r="M45" s="2" t="n">
        <v>8</v>
      </c>
      <c r="N45" s="2" t="inlineStr">
        <is>
          <t>ROCm</t>
        </is>
      </c>
      <c r="O45" s="2" t="inlineStr">
        <is>
          <t>Intra-Node P/D Disaggregation for Interactive Scenario, and vLLM 0.22.1</t>
        </is>
      </c>
      <c r="P45" s="2">
        <f>HYPERLINK("https://github.com/mlcommons/submissions_inference_v6.0/tree/main/closed/Dell_MangoBoost/results/XE9785L","details")</f>
        <v/>
      </c>
      <c r="Q45" s="2">
        <f>HYPERLINK("https://github.com/mlcommons/submissions_inference_v6.0/tree/main/closed/Dell_MangoBoost/src","code")</f>
        <v/>
      </c>
      <c r="AJ45" s="1" t="n">
        <v>110153</v>
      </c>
      <c r="AK45" s="1" t="n">
        <v>116953</v>
      </c>
      <c r="AL45" s="1" t="n">
        <v>29585.5</v>
      </c>
    </row>
    <row r="46">
      <c r="A46" s="2" t="inlineStr">
        <is>
          <t>6.1-0044</t>
        </is>
      </c>
      <c r="B46" s="2" t="inlineStr">
        <is>
          <t>datacenter/closed/Fujitsu/PRIMERGY_CDI_RTX_PRO_6000_PCIE_96GBx8_TRT</t>
        </is>
      </c>
      <c r="C46" s="2" t="inlineStr">
        <is>
          <t>availableFujitsu</t>
        </is>
      </c>
      <c r="D46" s="2" t="n"/>
      <c r="E46" s="2" t="inlineStr">
        <is>
          <t>Fujitsu</t>
        </is>
      </c>
      <c r="F46" s="2" t="inlineStr">
        <is>
          <t>available</t>
        </is>
      </c>
      <c r="G46" s="2" t="inlineStr">
        <is>
          <t>PRIMERGY_CDI_RTX_PRO_6000_PCIE_96GBx8, TensorRT)</t>
        </is>
      </c>
      <c r="H46" s="2" t="n">
        <v>1</v>
      </c>
      <c r="I46" s="2" t="inlineStr">
        <is>
          <t>Intel(R) Xeon(R) Platinum 8592+</t>
        </is>
      </c>
      <c r="J46" s="2" t="n">
        <v>2</v>
      </c>
      <c r="K46" s="2" t="inlineStr">
        <is>
          <t>NVIDIA RTX PRO 6000 Blackwell</t>
        </is>
      </c>
      <c r="L46" s="2" t="n">
        <v>8</v>
      </c>
      <c r="M46" s="2" t="n">
        <v>8</v>
      </c>
      <c r="N46" s="2" t="inlineStr">
        <is>
          <t>TensorRT 10.16, CUDA 13.2, cuDNN 9.21</t>
        </is>
      </c>
      <c r="O46" s="2" t="n"/>
      <c r="P46" s="2">
        <f>HYPERLINK("https://github.com/mlcommons/submissions_inference_v6.0/tree/main/closed/Fujitsu/results/PRIMERGY_CDI_RTX_PRO_6000_PCIE_96GBx8_TRT","details")</f>
        <v/>
      </c>
      <c r="Q46" s="2">
        <f>HYPERLINK("https://github.com/mlcommons/submissions_inference_v6.0/tree/main/closed/Fujitsu/src","code")</f>
        <v/>
      </c>
      <c r="W46" s="1" t="n">
        <v>27340.9</v>
      </c>
      <c r="X46" s="1" t="n">
        <v>26626.5</v>
      </c>
    </row>
    <row r="47">
      <c r="A47" s="2" t="inlineStr">
        <is>
          <t>6.1-0045</t>
        </is>
      </c>
      <c r="B47" s="2" t="inlineStr">
        <is>
          <t>datacenter/closed/GigaComputing/G894-AD3-AAX7_B300-SXM-270GBx8_TRT</t>
        </is>
      </c>
      <c r="C47" s="2" t="inlineStr">
        <is>
          <t>availableGigaComputing</t>
        </is>
      </c>
      <c r="D47" s="2" t="n"/>
      <c r="E47" s="2" t="inlineStr">
        <is>
          <t>GigaComputing</t>
        </is>
      </c>
      <c r="F47" s="2" t="inlineStr">
        <is>
          <t>available</t>
        </is>
      </c>
      <c r="G47" s="2" t="inlineStr">
        <is>
          <t>G894-AD3-AAX7</t>
        </is>
      </c>
      <c r="H47" s="2" t="n">
        <v>1</v>
      </c>
      <c r="I47" s="2" t="inlineStr">
        <is>
          <t>Intel(R) Xeon(R) 6979P</t>
        </is>
      </c>
      <c r="J47" s="2" t="n">
        <v>2</v>
      </c>
      <c r="K47" s="2" t="inlineStr">
        <is>
          <t>NVIDIA B300-SXM-270GB</t>
        </is>
      </c>
      <c r="L47" s="2" t="n">
        <v>8</v>
      </c>
      <c r="M47" s="2" t="n">
        <v>8</v>
      </c>
      <c r="N47" s="2" t="inlineStr">
        <is>
          <t>TensorRT 10.14, CUDA 13.1, cuDNN 9.17, TensorRT-LLM feat/1.2-mlpinf, NVIDIA Dynamo mlperf-v6.0-dynamo-v0.8.0, vLLM CentML:mlperf-inf-mm-q3vl-v6.1</t>
        </is>
      </c>
      <c r="O47" s="2" t="inlineStr">
        <is>
          <t>B300 TGP 1100W</t>
        </is>
      </c>
      <c r="P47" s="2">
        <f>HYPERLINK("https://github.com/mlcommons/submissions_inference_v6.0/tree/main/closed/GigaComputing/results/G894-AD3-AAX7_B300-SXM-270GBx8_TRT","details")</f>
        <v/>
      </c>
      <c r="Q47" s="2">
        <f>HYPERLINK("https://github.com/mlcommons/submissions_inference_v6.0/tree/main/closed/GigaComputing/src","code")</f>
        <v/>
      </c>
      <c r="W47" s="1" t="n">
        <v>114832</v>
      </c>
      <c r="X47" s="1" t="n">
        <v>115034</v>
      </c>
      <c r="AA47" s="1" t="n">
        <v>70495.7</v>
      </c>
      <c r="AB47" s="1" t="n">
        <v>72445.10000000001</v>
      </c>
      <c r="AE47" s="1" t="n">
        <v>19.07940438844444</v>
      </c>
      <c r="AF47" s="1" t="n">
        <v>0.0629152672355444</v>
      </c>
      <c r="AG47" s="1" t="n">
        <v>111.7532977914224</v>
      </c>
      <c r="AH47" s="1" t="n">
        <v>131.2852847183584</v>
      </c>
      <c r="AI47" s="1" t="n">
        <v>12.48543213240489</v>
      </c>
      <c r="AJ47" s="1" t="n">
        <v>111218</v>
      </c>
      <c r="AK47" s="1" t="n">
        <v>111625</v>
      </c>
    </row>
    <row r="48">
      <c r="A48" s="2" t="inlineStr">
        <is>
          <t>6.1-0046</t>
        </is>
      </c>
      <c r="B48" s="2" t="inlineStr">
        <is>
          <t>datacenter/closed/GigaComputing/G894-ZD3-AAX7_B300-SXM-270GBx8_TRT</t>
        </is>
      </c>
      <c r="C48" s="2" t="inlineStr">
        <is>
          <t>availableGigaComputing</t>
        </is>
      </c>
      <c r="D48" s="2" t="n"/>
      <c r="E48" s="2" t="inlineStr">
        <is>
          <t>GigaComputing</t>
        </is>
      </c>
      <c r="F48" s="2" t="inlineStr">
        <is>
          <t>available</t>
        </is>
      </c>
      <c r="G48" s="2" t="inlineStr">
        <is>
          <t>G894-ZD3-AAX7</t>
        </is>
      </c>
      <c r="H48" s="2" t="n">
        <v>1</v>
      </c>
      <c r="I48" s="2" t="inlineStr">
        <is>
          <t>AMD EPYC 9575F</t>
        </is>
      </c>
      <c r="J48" s="2" t="n">
        <v>2</v>
      </c>
      <c r="K48" s="2" t="inlineStr">
        <is>
          <t>NVIDIA B300-SXM-270GB</t>
        </is>
      </c>
      <c r="L48" s="2" t="n">
        <v>8</v>
      </c>
      <c r="M48" s="2" t="n">
        <v>8</v>
      </c>
      <c r="N48" s="2" t="inlineStr">
        <is>
          <t>TensorRT 10.14, CUDA 13.1, cuDNN 9.17, TensorRT-LLM feat/1.2-mlpinf, NVIDIA Dynamo mlperf-v6.0-dynamo-v0.8.0, vLLM CentML:mlperf-inf-mm-q3vl-v6.1</t>
        </is>
      </c>
      <c r="O48" s="2" t="inlineStr">
        <is>
          <t>B300 TGP 1100W</t>
        </is>
      </c>
      <c r="P48" s="2">
        <f>HYPERLINK("https://github.com/mlcommons/submissions_inference_v6.0/tree/main/closed/GigaComputing/results/G894-ZD3-AAX7_B300-SXM-270GBx8_TRT","details")</f>
        <v/>
      </c>
      <c r="Q48" s="2">
        <f>HYPERLINK("https://github.com/mlcommons/submissions_inference_v6.0/tree/main/closed/GigaComputing/src","code")</f>
        <v/>
      </c>
      <c r="W48" s="1" t="n">
        <v>114578</v>
      </c>
      <c r="X48" s="1" t="n">
        <v>114826</v>
      </c>
      <c r="AA48" s="1" t="n">
        <v>70771.7</v>
      </c>
      <c r="AB48" s="1" t="n">
        <v>72327.10000000001</v>
      </c>
      <c r="AE48" s="1" t="n">
        <v>18.05179867184028</v>
      </c>
      <c r="AF48" s="1" t="n">
        <v>0.0625123079679506</v>
      </c>
      <c r="AG48" s="1" t="n">
        <v>115.7839399384009</v>
      </c>
      <c r="AH48" s="1" t="n">
        <v>132.0547880616454</v>
      </c>
      <c r="AI48" s="1" t="n">
        <v>12.88177974080564</v>
      </c>
      <c r="AJ48" s="1" t="n">
        <v>110592</v>
      </c>
      <c r="AK48" s="1" t="n">
        <v>111541</v>
      </c>
    </row>
    <row r="49">
      <c r="A49" s="2" t="inlineStr">
        <is>
          <t>6.1-0047</t>
        </is>
      </c>
      <c r="B49" s="2" t="inlineStr">
        <is>
          <t>datacenter/closed/Google/GB200-NVL72_GB200-186GB_aarch64x72_TRT</t>
        </is>
      </c>
      <c r="C49" s="2" t="inlineStr">
        <is>
          <t>availableGoogle</t>
        </is>
      </c>
      <c r="D49" s="2" t="n"/>
      <c r="E49" s="2" t="inlineStr">
        <is>
          <t>Google</t>
        </is>
      </c>
      <c r="F49" s="2" t="inlineStr">
        <is>
          <t>available</t>
        </is>
      </c>
      <c r="G49" s="2" t="inlineStr">
        <is>
          <t>NVIDIA GB200 NVL72 (72x GB200-186GB_aarch64, TensorRT)</t>
        </is>
      </c>
      <c r="H49" s="2" t="n">
        <v>18</v>
      </c>
      <c r="I49" s="2" t="inlineStr">
        <is>
          <t>NVIDIA Grace CPU</t>
        </is>
      </c>
      <c r="J49" s="2" t="n">
        <v>2</v>
      </c>
      <c r="K49" s="2" t="inlineStr">
        <is>
          <t>NVIDIA GB200</t>
        </is>
      </c>
      <c r="L49" s="2" t="n">
        <v>4</v>
      </c>
      <c r="M49" s="2" t="n">
        <v>72</v>
      </c>
      <c r="N49" s="2" t="inlineStr">
        <is>
          <t>PyTorch 2.10.0a0+b4e4ee81d3.nv25.12, TensorRT 10.14.1.48, CUDA Toolkit 13.1, cuDNN 9.17.0, TensorRT-LLM 1.3.0rc0</t>
        </is>
      </c>
      <c r="O49" s="2" t="inlineStr">
        <is>
          <t>NVIDIA GB200 NVL72, 1200W TGP Per GPU. DeepSeek-R1 used the pinned aarch64 MLPerf TensorRT-LLM container. Runtime logs show MNNVL/NVLinkOneSided selection for Offline, Server, and Interactive; colocated Offline/Server also initialized the NIXL UCX backend, while disaggregated Interactive used a UCX KV-cache transceiver between context and generation services.</t>
        </is>
      </c>
      <c r="P49" s="2">
        <f>HYPERLINK("https://github.com/mlcommons/submissions_inference_v6.0/tree/main/closed/Google/results/GB200-NVL72_GB200-186GB_aarch64x72_TRT","details")</f>
        <v/>
      </c>
      <c r="Q49" s="2">
        <f>HYPERLINK("https://github.com/mlcommons/submissions_inference_v6.0/tree/main/closed/Google/src","code")</f>
        <v/>
      </c>
      <c r="AA49" s="1" t="n">
        <v>388590</v>
      </c>
      <c r="AB49" s="1" t="n">
        <v>510781</v>
      </c>
      <c r="AC49" s="1" t="n">
        <v>232160</v>
      </c>
    </row>
    <row r="50">
      <c r="A50" s="2" t="inlineStr">
        <is>
          <t>6.1-0048</t>
        </is>
      </c>
      <c r="B50" s="2" t="inlineStr">
        <is>
          <t>datacenter/closed/HPE/HPE_GB200-NVL72_GB200-186GB_aarch64x8</t>
        </is>
      </c>
      <c r="C50" s="2" t="inlineStr">
        <is>
          <t>availableHPE</t>
        </is>
      </c>
      <c r="D50" s="2" t="n"/>
      <c r="E50" s="2" t="inlineStr">
        <is>
          <t>HPE</t>
        </is>
      </c>
      <c r="F50" s="2" t="inlineStr">
        <is>
          <t>available</t>
        </is>
      </c>
      <c r="G50" s="2" t="inlineStr">
        <is>
          <t>NVIDIA GB200 NVL72 by HPE (8x GB200-186GB_aarch64, TensorRT)</t>
        </is>
      </c>
      <c r="H50" s="2" t="n">
        <v>2</v>
      </c>
      <c r="I50" s="2" t="inlineStr">
        <is>
          <t>NVIDIA Grace CPU (Arm Neoverse-V2)</t>
        </is>
      </c>
      <c r="J50" s="2" t="n">
        <v>2</v>
      </c>
      <c r="K50" s="2" t="inlineStr">
        <is>
          <t>NVIDIA GB200</t>
        </is>
      </c>
      <c r="L50" s="2" t="n">
        <v>4</v>
      </c>
      <c r="M50" s="2" t="n">
        <v>8</v>
      </c>
      <c r="N50" s="2" t="inlineStr">
        <is>
          <t>TensorRT 10.14, CUDA 13.1, TensorRT-LLM 1.3.0rc0</t>
        </is>
      </c>
      <c r="O50" s="2" t="inlineStr">
        <is>
          <t>NVIDIA GB200 NVL72 platform by HPE; 1200 W GPU power limit. Two dep8 replicas across two nodes; CentML DeepSeek-R1 NVFP4 v2 checkpoint</t>
        </is>
      </c>
      <c r="P50" s="2">
        <f>HYPERLINK("https://github.com/mlcommons/submissions_inference_v6.0/tree/main/closed/HPE/results/HPE_GB200-NVL72_GB200-186GB_aarch64x8","details")</f>
        <v/>
      </c>
      <c r="Q50" s="2">
        <f>HYPERLINK("https://github.com/mlcommons/submissions_inference_v6.0/tree/main/closed/HPE/src","code")</f>
        <v/>
      </c>
      <c r="AJ50" s="1" t="n">
        <v>100714</v>
      </c>
      <c r="AK50" s="1" t="n">
        <v>101453</v>
      </c>
    </row>
    <row r="51">
      <c r="A51" s="2" t="inlineStr">
        <is>
          <t>6.1-0049</t>
        </is>
      </c>
      <c r="B51" s="2" t="inlineStr">
        <is>
          <t>datacenter/closed/HPE/HPE_PROLIANT_DL380A_RTX_PRO_6000_PCIE_96GBx8</t>
        </is>
      </c>
      <c r="C51" s="2" t="inlineStr">
        <is>
          <t>availableHPE</t>
        </is>
      </c>
      <c r="D51" s="2" t="n"/>
      <c r="E51" s="2" t="inlineStr">
        <is>
          <t>HPE</t>
        </is>
      </c>
      <c r="F51" s="2" t="inlineStr">
        <is>
          <t>available</t>
        </is>
      </c>
      <c r="G51" s="2" t="inlineStr">
        <is>
          <t>HPE ProLiant Compute DL380a Gen12 (8x RTX Pro 6000 Blackwell Server Edition 96GB, TensorRT)</t>
        </is>
      </c>
      <c r="H51" s="2" t="n">
        <v>1</v>
      </c>
      <c r="I51" s="2" t="inlineStr">
        <is>
          <t>Intel(R) Xeon(R) 6787P</t>
        </is>
      </c>
      <c r="J51" s="2" t="n">
        <v>2</v>
      </c>
      <c r="K51" s="2" t="inlineStr">
        <is>
          <t>NVIDIA RTX PRO 6000 Blackwell Server Edition</t>
        </is>
      </c>
      <c r="L51" s="2" t="n">
        <v>8</v>
      </c>
      <c r="M51" s="2" t="n">
        <v>8</v>
      </c>
      <c r="N51" s="2" t="inlineStr">
        <is>
          <t>TensorRT 10.16.1.11, CUDA 13.2</t>
        </is>
      </c>
      <c r="O51" s="2" t="n"/>
      <c r="P51" s="2">
        <f>HYPERLINK("https://github.com/mlcommons/submissions_inference_v6.0/tree/main/closed/HPE/results/HPE_PROLIANT_DL380A_RTX_PRO_6000_PCIE_96GBx8","details")</f>
        <v/>
      </c>
      <c r="Q51" s="2">
        <f>HYPERLINK("https://github.com/mlcommons/submissions_inference_v6.0/tree/main/closed/HPE/src","code")</f>
        <v/>
      </c>
      <c r="T51" s="1" t="n">
        <v>49523.3</v>
      </c>
      <c r="U51" s="1" t="n">
        <v>50965.3</v>
      </c>
      <c r="V51" s="1" t="n">
        <v>39986.3</v>
      </c>
      <c r="W51" s="1" t="n">
        <v>28643.3</v>
      </c>
      <c r="X51" s="1" t="n">
        <v>29284.8</v>
      </c>
      <c r="AD51" s="1" t="n">
        <v>19278.3</v>
      </c>
      <c r="AJ51" s="1" t="n">
        <v>14581.7</v>
      </c>
      <c r="AK51" s="1" t="n">
        <v>15256</v>
      </c>
    </row>
    <row r="52">
      <c r="A52" s="2" t="inlineStr">
        <is>
          <t>6.1-0050</t>
        </is>
      </c>
      <c r="B52" s="2" t="inlineStr">
        <is>
          <t>datacenter/closed/HPE/HPE_XD685_MI355X_288GBx8_vLLM</t>
        </is>
      </c>
      <c r="C52" s="2" t="inlineStr">
        <is>
          <t>availableHPE</t>
        </is>
      </c>
      <c r="D52" s="2" t="n"/>
      <c r="E52" s="2" t="inlineStr">
        <is>
          <t>HPE</t>
        </is>
      </c>
      <c r="F52" s="2" t="inlineStr">
        <is>
          <t>available</t>
        </is>
      </c>
      <c r="G52" s="2" t="inlineStr">
        <is>
          <t>HPE ProLiant Compute XD685 (8x AMD MI355X-288GB, vLLM)</t>
        </is>
      </c>
      <c r="H52" s="2" t="n">
        <v>1</v>
      </c>
      <c r="I52" s="2" t="inlineStr">
        <is>
          <t>AMD EPYC 9575F</t>
        </is>
      </c>
      <c r="J52" s="2" t="n">
        <v>2</v>
      </c>
      <c r="K52" s="2" t="inlineStr">
        <is>
          <t>AMD Instinct MI355X 288GB HBM3e</t>
        </is>
      </c>
      <c r="L52" s="2" t="n">
        <v>8</v>
      </c>
      <c r="M52" s="2" t="n">
        <v>8</v>
      </c>
      <c r="N52" s="2" t="inlineStr">
        <is>
          <t>vLLM 0.22.0, PyTorch 2.10.0, ROCm 7.2.2</t>
        </is>
      </c>
      <c r="O52" s="2" t="inlineStr">
        <is>
          <t>HPE ProLiant Compute XD685; 8x AMD Instinct MI355X (gfx950), 288GB HBM3E each. MXFP4 (W4A4) weights with FP8 KV cache, Quark quantization</t>
        </is>
      </c>
      <c r="P52" s="2">
        <f>HYPERLINK("https://github.com/mlcommons/submissions_inference_v6.0/tree/main/closed/HPE/results/HPE_XD685_MI355X_288GBx8_vLLM","details")</f>
        <v/>
      </c>
      <c r="Q52" s="2">
        <f>HYPERLINK("https://github.com/mlcommons/submissions_inference_v6.0/tree/main/closed/HPE/src","code")</f>
        <v/>
      </c>
      <c r="T52" s="1" t="n">
        <v>148118</v>
      </c>
      <c r="U52" s="1" t="n">
        <v>157694</v>
      </c>
      <c r="V52" s="1" t="n">
        <v>130613</v>
      </c>
      <c r="W52" s="1" t="n">
        <v>101979</v>
      </c>
      <c r="X52" s="1" t="n">
        <v>102991</v>
      </c>
      <c r="Y52" s="1" t="n">
        <v>72977.2</v>
      </c>
      <c r="AE52" s="1" t="n">
        <v>16.397060151</v>
      </c>
      <c r="AF52" s="1" t="n">
        <v>0.0707035</v>
      </c>
      <c r="AJ52" s="1" t="n">
        <v>108836</v>
      </c>
      <c r="AK52" s="1" t="n">
        <v>117355</v>
      </c>
    </row>
    <row r="53">
      <c r="A53" s="2" t="inlineStr">
        <is>
          <t>6.1-0051</t>
        </is>
      </c>
      <c r="B53" s="2" t="inlineStr">
        <is>
          <t>datacenter/closed/HPE/HPE_XD690_B300_SXM_270GBx16_TRT</t>
        </is>
      </c>
      <c r="C53" s="2" t="inlineStr">
        <is>
          <t>availableHPE</t>
        </is>
      </c>
      <c r="D53" s="2" t="n"/>
      <c r="E53" s="2" t="inlineStr">
        <is>
          <t>HPE</t>
        </is>
      </c>
      <c r="F53" s="2" t="inlineStr">
        <is>
          <t>available</t>
        </is>
      </c>
      <c r="G53" s="2" t="inlineStr">
        <is>
          <t>HPE Compute XD690 (8x NVIDIA B300-SXM-270GB, TensorRT)</t>
        </is>
      </c>
      <c r="H53" s="2" t="n">
        <v>2</v>
      </c>
      <c r="I53" s="2" t="inlineStr">
        <is>
          <t>Intel(R) Xeon(R) 6776P</t>
        </is>
      </c>
      <c r="J53" s="2" t="n">
        <v>2</v>
      </c>
      <c r="K53" s="2" t="inlineStr">
        <is>
          <t>NVIDIA B300-SXM-270GB</t>
        </is>
      </c>
      <c r="L53" s="2" t="n">
        <v>8</v>
      </c>
      <c r="M53" s="2" t="n">
        <v>16</v>
      </c>
      <c r="N53" s="2" t="inlineStr">
        <is>
          <t>TensorRT 10.14, CUDA 13.2</t>
        </is>
      </c>
      <c r="O53" s="2" t="inlineStr">
        <is>
          <t>B300 TGP 1100W</t>
        </is>
      </c>
      <c r="P53" s="2">
        <f>HYPERLINK("https://github.com/mlcommons/submissions_inference_v6.0/tree/main/closed/HPE/results/HPE_XD690_B300_SXM_270GBx16_TRT","details")</f>
        <v/>
      </c>
      <c r="Q53" s="2">
        <f>HYPERLINK("https://github.com/mlcommons/submissions_inference_v6.0/tree/main/closed/HPE/src","code")</f>
        <v/>
      </c>
      <c r="AA53" s="1" t="n">
        <v>80536.89999999999</v>
      </c>
      <c r="AB53" s="1" t="n">
        <v>136854</v>
      </c>
    </row>
    <row r="54">
      <c r="A54" s="2" t="inlineStr">
        <is>
          <t>6.1-0052</t>
        </is>
      </c>
      <c r="B54" s="2" t="inlineStr">
        <is>
          <t>datacenter/closed/HPE/HPE_XD690_B300_SXM_270GBx8_TRT</t>
        </is>
      </c>
      <c r="C54" s="2" t="inlineStr">
        <is>
          <t>availableHPE</t>
        </is>
      </c>
      <c r="D54" s="2" t="n"/>
      <c r="E54" s="2" t="inlineStr">
        <is>
          <t>HPE</t>
        </is>
      </c>
      <c r="F54" s="2" t="inlineStr">
        <is>
          <t>available</t>
        </is>
      </c>
      <c r="G54" s="2" t="inlineStr">
        <is>
          <t>HPE Compute XD690 (8x NVIDIA B300-SXM-270GB, TensorRT)</t>
        </is>
      </c>
      <c r="H54" s="2" t="n">
        <v>1</v>
      </c>
      <c r="I54" s="2" t="inlineStr">
        <is>
          <t>Intel(R) Xeon(R) 6776P</t>
        </is>
      </c>
      <c r="J54" s="2" t="n">
        <v>2</v>
      </c>
      <c r="K54" s="2" t="inlineStr">
        <is>
          <t>NVIDIA B300-SXM-270GB</t>
        </is>
      </c>
      <c r="L54" s="2" t="n">
        <v>8</v>
      </c>
      <c r="M54" s="2" t="n">
        <v>8</v>
      </c>
      <c r="N54" s="2" t="inlineStr">
        <is>
          <t>TensorRT 10.14, CUDA 13.2</t>
        </is>
      </c>
      <c r="O54" s="2" t="inlineStr">
        <is>
          <t>B300 TGP 1100W</t>
        </is>
      </c>
      <c r="P54" s="2">
        <f>HYPERLINK("https://github.com/mlcommons/submissions_inference_v6.0/tree/main/closed/HPE/results/HPE_XD690_B300_SXM_270GBx8_TRT","details")</f>
        <v/>
      </c>
      <c r="Q54" s="2">
        <f>HYPERLINK("https://github.com/mlcommons/submissions_inference_v6.0/tree/main/closed/HPE/src","code")</f>
        <v/>
      </c>
      <c r="AJ54" s="1" t="n">
        <v>113685</v>
      </c>
      <c r="AK54" s="1" t="n">
        <v>114569</v>
      </c>
    </row>
    <row r="55">
      <c r="A55" s="2" t="inlineStr">
        <is>
          <t>6.1-0059</t>
        </is>
      </c>
      <c r="B55" s="2" t="inlineStr">
        <is>
          <t>datacenter/closed/Intel/1-node-2S-GNR_128C</t>
        </is>
      </c>
      <c r="C55" s="2" t="inlineStr">
        <is>
          <t>availableIntel</t>
        </is>
      </c>
      <c r="D55" s="2" t="n"/>
      <c r="E55" s="2" t="inlineStr">
        <is>
          <t>Intel</t>
        </is>
      </c>
      <c r="F55" s="2" t="inlineStr">
        <is>
          <t>available</t>
        </is>
      </c>
      <c r="G55" s="2" t="inlineStr">
        <is>
          <t>1-node-2S-GNR_128C</t>
        </is>
      </c>
      <c r="H55" s="2" t="n">
        <v>1</v>
      </c>
      <c r="I55" s="2" t="inlineStr">
        <is>
          <t>Intel(R) Xeon(R) 6980P</t>
        </is>
      </c>
      <c r="J55" s="2" t="n">
        <v>2</v>
      </c>
      <c r="K55" s="2" t="n"/>
      <c r="L55" s="2" t="n"/>
      <c r="M55" s="2" t="n">
        <v>0</v>
      </c>
      <c r="N55" s="2" t="inlineStr">
        <is>
          <t>PyTorch</t>
        </is>
      </c>
      <c r="O55" s="2" t="n"/>
      <c r="P55" s="2">
        <f>HYPERLINK("https://github.com/mlcommons/submissions_inference_v6.0/tree/main/closed/Intel/results/1-node-2S-GNR_128C","details")</f>
        <v/>
      </c>
      <c r="Q55" s="2">
        <f>HYPERLINK("https://github.com/mlcommons/submissions_inference_v6.0/tree/main/closed/Intel/src","code")</f>
        <v/>
      </c>
      <c r="T55" s="1" t="n">
        <v>1139.51</v>
      </c>
      <c r="U55" s="1" t="n">
        <v>1916.74</v>
      </c>
      <c r="Z55" s="1" t="n">
        <v>24573.7</v>
      </c>
      <c r="AD55" s="1" t="n">
        <v>2319.02</v>
      </c>
    </row>
    <row r="56">
      <c r="A56" s="2" t="inlineStr">
        <is>
          <t>6.1-0060</t>
        </is>
      </c>
      <c r="B56" s="2" t="inlineStr">
        <is>
          <t>datacenter/closed/Intel/1-node-2S-Xeon_6787P</t>
        </is>
      </c>
      <c r="C56" s="2" t="inlineStr">
        <is>
          <t>availableIntel</t>
        </is>
      </c>
      <c r="D56" s="2" t="n"/>
      <c r="E56" s="2" t="inlineStr">
        <is>
          <t>Intel</t>
        </is>
      </c>
      <c r="F56" s="2" t="inlineStr">
        <is>
          <t>available</t>
        </is>
      </c>
      <c r="G56" s="2" t="inlineStr">
        <is>
          <t>1-node-2S-Xeon_6787P</t>
        </is>
      </c>
      <c r="H56" s="2" t="n">
        <v>1</v>
      </c>
      <c r="I56" s="2" t="inlineStr">
        <is>
          <t>Intel(R) Xeon(R) 6787P</t>
        </is>
      </c>
      <c r="J56" s="2" t="n">
        <v>2</v>
      </c>
      <c r="K56" s="2" t="inlineStr">
        <is>
          <t>Intel(R) Arc(TM) Pro B70</t>
        </is>
      </c>
      <c r="L56" s="2" t="n">
        <v>4</v>
      </c>
      <c r="M56" s="2" t="n">
        <v>4</v>
      </c>
      <c r="N56" s="2" t="inlineStr">
        <is>
          <t>vLLM 0.22.1rc1.dev189+ga55fccfc7.d20260604, PyTorch 2.11.0+cpu, FAISS 1.14.3</t>
        </is>
      </c>
      <c r="O56" s="2" t="inlineStr">
        <is>
          <t>e2e-rag-qna: gpt-oss-120b on 4x Intel Arc Pro B70 (TP=4); gpt-oss-20b grader, e5-base-v2 embedding and colbertv2.0 reranking on CPU. e2e-rag-db: CPU-only vector-database build, no accelerator used.. e2e-rag-qna: async multi-shot RAG pipeline with pinned CPU embedding/FAISS and reranking services. e2e-rag-db: vector DB built from the frozen docs.tar.gz Wikipedia corpus (2515 HTML pages).</t>
        </is>
      </c>
      <c r="P56" s="2">
        <f>HYPERLINK("https://github.com/mlcommons/submissions_inference_v6.0/tree/main/closed/Intel/results/1-node-2S-Xeon_6787P","details")</f>
        <v/>
      </c>
      <c r="Q56" s="2">
        <f>HYPERLINK("https://github.com/mlcommons/submissions_inference_v6.0/tree/main/closed/Intel/src","code")</f>
        <v/>
      </c>
      <c r="AM56" s="1" t="n">
        <v>0.464076</v>
      </c>
      <c r="AN56" s="1" t="n">
        <v>22.6141</v>
      </c>
    </row>
    <row r="57">
      <c r="A57" s="2" t="inlineStr">
        <is>
          <t>6.1-0061</t>
        </is>
      </c>
      <c r="B57" s="2" t="inlineStr">
        <is>
          <t>datacenter/closed/Intel/1-node-4x-BMG-B70</t>
        </is>
      </c>
      <c r="C57" s="2" t="inlineStr">
        <is>
          <t>availableIntel</t>
        </is>
      </c>
      <c r="D57" s="2" t="n"/>
      <c r="E57" s="2" t="inlineStr">
        <is>
          <t>Intel</t>
        </is>
      </c>
      <c r="F57" s="2" t="inlineStr">
        <is>
          <t>available</t>
        </is>
      </c>
      <c r="G57" s="2" t="inlineStr">
        <is>
          <t>1-node-4x-BMG-B70</t>
        </is>
      </c>
      <c r="H57" s="2" t="n">
        <v>1</v>
      </c>
      <c r="I57" s="2" t="inlineStr">
        <is>
          <t>Intel(R) Xeon(R) 698X</t>
        </is>
      </c>
      <c r="J57" s="2" t="n">
        <v>1</v>
      </c>
      <c r="K57" s="2" t="inlineStr">
        <is>
          <t>Intel(R) Arc(TM) Pro B70</t>
        </is>
      </c>
      <c r="L57" s="2" t="n">
        <v>4</v>
      </c>
      <c r="M57" s="2" t="n">
        <v>4</v>
      </c>
      <c r="N57" s="2" t="inlineStr">
        <is>
          <t>PyTorch</t>
        </is>
      </c>
      <c r="O57" s="2" t="n"/>
      <c r="P57" s="2">
        <f>HYPERLINK("https://github.com/mlcommons/submissions_inference_v6.0/tree/main/closed/Intel/results/1-node-4x-BMG-B70","details")</f>
        <v/>
      </c>
      <c r="Q57" s="2">
        <f>HYPERLINK("https://github.com/mlcommons/submissions_inference_v6.0/tree/main/closed/Intel/src","code")</f>
        <v/>
      </c>
      <c r="T57" s="1" t="n">
        <v>4173.25</v>
      </c>
      <c r="U57" s="1" t="n">
        <v>4613.28</v>
      </c>
      <c r="W57" s="1" t="n">
        <v>1745.48</v>
      </c>
      <c r="X57" s="1" t="n">
        <v>2464.98</v>
      </c>
      <c r="AD57" s="1" t="n">
        <v>5539.77</v>
      </c>
      <c r="AJ57" s="1" t="n">
        <v>1296.87</v>
      </c>
      <c r="AK57" s="1" t="n">
        <v>1956.4</v>
      </c>
    </row>
    <row r="58">
      <c r="A58" s="2" t="inlineStr">
        <is>
          <t>6.1-0062</t>
        </is>
      </c>
      <c r="B58" s="2" t="inlineStr">
        <is>
          <t>datacenter/closed/Inventec/P5800G7-B300-SXM-270GBx8_TRT</t>
        </is>
      </c>
      <c r="C58" s="2" t="inlineStr">
        <is>
          <t>availableInventec</t>
        </is>
      </c>
      <c r="D58" s="2" t="n"/>
      <c r="E58" s="2" t="inlineStr">
        <is>
          <t>Inventec</t>
        </is>
      </c>
      <c r="F58" s="2" t="inlineStr">
        <is>
          <t>available</t>
        </is>
      </c>
      <c r="G58" s="2" t="inlineStr">
        <is>
          <t>Inventec P5800G7(LC) (8x B300-SXM-270GB, TensorRT)</t>
        </is>
      </c>
      <c r="H58" s="2" t="n">
        <v>1</v>
      </c>
      <c r="I58" s="2" t="inlineStr">
        <is>
          <t>Intel(R) Xeon(R) 6787P</t>
        </is>
      </c>
      <c r="J58" s="2" t="n">
        <v>2</v>
      </c>
      <c r="K58" s="2" t="inlineStr">
        <is>
          <t>NVIDIA B300-SXM-270GB</t>
        </is>
      </c>
      <c r="L58" s="2" t="n">
        <v>8</v>
      </c>
      <c r="M58" s="2" t="n">
        <v>8</v>
      </c>
      <c r="N58" s="2" t="inlineStr">
        <is>
          <t>TensorRT 10.14, CUDA 13.1, cuDNN 9.17, TensorRT-LLM feat/1.2-mlpinf, NVIDIA Dynamo mlperf-v6.0-dynamo-v0.8.0, vLLM CentML:mlperf-inf-mm-q3vl-v6.0</t>
        </is>
      </c>
      <c r="O58" s="2" t="inlineStr">
        <is>
          <t>B300 TGP 1100W</t>
        </is>
      </c>
      <c r="P58" s="2">
        <f>HYPERLINK("https://github.com/mlcommons/submissions_inference_v6.0/tree/main/closed/Inventec/results/P5800G7-B300-SXM-270GBx8_TRT","details")</f>
        <v/>
      </c>
      <c r="Q58" s="2">
        <f>HYPERLINK("https://github.com/mlcommons/submissions_inference_v6.0/tree/main/closed/Inventec/src","code")</f>
        <v/>
      </c>
      <c r="W58" s="1" t="n">
        <v>106617</v>
      </c>
      <c r="X58" s="1" t="n">
        <v>109933</v>
      </c>
      <c r="AA58" s="1" t="n">
        <v>57432</v>
      </c>
      <c r="AB58" s="1" t="n">
        <v>70269.60000000001</v>
      </c>
      <c r="AJ58" s="1" t="n">
        <v>100299</v>
      </c>
      <c r="AK58" s="1" t="n">
        <v>106280</v>
      </c>
    </row>
    <row r="59">
      <c r="A59" s="2" t="inlineStr">
        <is>
          <t>6.1-0063</t>
        </is>
      </c>
      <c r="B59" s="2" t="inlineStr">
        <is>
          <t>datacenter/closed/Inventec/P9000G7-B300-SXM-270GBx8_TRT</t>
        </is>
      </c>
      <c r="C59" s="2" t="inlineStr">
        <is>
          <t>availableInventec</t>
        </is>
      </c>
      <c r="D59" s="2" t="n"/>
      <c r="E59" s="2" t="inlineStr">
        <is>
          <t>Inventec</t>
        </is>
      </c>
      <c r="F59" s="2" t="inlineStr">
        <is>
          <t>available</t>
        </is>
      </c>
      <c r="G59" s="2" t="inlineStr">
        <is>
          <t>Inventec P9000G7(AC) (8x B300-SXM-270GB, TensorRT)</t>
        </is>
      </c>
      <c r="H59" s="2" t="n">
        <v>1</v>
      </c>
      <c r="I59" s="2" t="inlineStr">
        <is>
          <t>Intel(R) Xeon(R) 6767P</t>
        </is>
      </c>
      <c r="J59" s="2" t="n">
        <v>2</v>
      </c>
      <c r="K59" s="2" t="inlineStr">
        <is>
          <t>NVIDIA B300-SXM-270GB</t>
        </is>
      </c>
      <c r="L59" s="2" t="n">
        <v>8</v>
      </c>
      <c r="M59" s="2" t="n">
        <v>8</v>
      </c>
      <c r="N59" s="2" t="inlineStr">
        <is>
          <t>TensorRT 10.14, CUDA 13.1, cuDNN 9.17, TensorRT-LLM feat/1.2-mlpinf, NVIDIA Dynamo mlperf-v6.0-dynamo-v0.8.0, vLLM CentML:mlperf-inf-mm-q3vl-v6.0</t>
        </is>
      </c>
      <c r="O59" s="2" t="inlineStr">
        <is>
          <t>B300 TGP 1100W</t>
        </is>
      </c>
      <c r="P59" s="2">
        <f>HYPERLINK("https://github.com/mlcommons/submissions_inference_v6.0/tree/main/closed/Inventec/results/P9000G7-B300-SXM-270GBx8_TRT","details")</f>
        <v/>
      </c>
      <c r="Q59" s="2">
        <f>HYPERLINK("https://github.com/mlcommons/submissions_inference_v6.0/tree/main/closed/Inventec/src","code")</f>
        <v/>
      </c>
      <c r="W59" s="1" t="n">
        <v>106645</v>
      </c>
      <c r="X59" s="1" t="n">
        <v>109755</v>
      </c>
      <c r="AA59" s="1" t="n">
        <v>57517.4</v>
      </c>
      <c r="AB59" s="1" t="n">
        <v>69062.2</v>
      </c>
      <c r="AJ59" s="1" t="n">
        <v>100300</v>
      </c>
      <c r="AK59" s="1" t="n">
        <v>105617</v>
      </c>
    </row>
    <row r="60">
      <c r="A60" s="2" t="inlineStr">
        <is>
          <t>6.1-0064</t>
        </is>
      </c>
      <c r="B60" s="2" t="inlineStr">
        <is>
          <t>datacenter/closed/Lambda/B200-SXM-180GBx8_TRT</t>
        </is>
      </c>
      <c r="C60" s="2" t="inlineStr">
        <is>
          <t>availableLambda</t>
        </is>
      </c>
      <c r="D60" s="2" t="n"/>
      <c r="E60" s="2" t="inlineStr">
        <is>
          <t>Lambda</t>
        </is>
      </c>
      <c r="F60" s="2" t="inlineStr">
        <is>
          <t>available</t>
        </is>
      </c>
      <c r="G60" s="2" t="inlineStr">
        <is>
          <t>Lambda Cloud 8x B200-SXM-180GB</t>
        </is>
      </c>
      <c r="H60" s="2" t="n">
        <v>1</v>
      </c>
      <c r="I60" s="2" t="inlineStr">
        <is>
          <t>Intel(R) Xeon(R) Platinum 8570</t>
        </is>
      </c>
      <c r="J60" s="2" t="n">
        <v>2</v>
      </c>
      <c r="K60" s="2" t="inlineStr">
        <is>
          <t>NVIDIA B200-SXM-180GB</t>
        </is>
      </c>
      <c r="L60" s="2" t="n">
        <v>8</v>
      </c>
      <c r="M60" s="2" t="n">
        <v>8</v>
      </c>
      <c r="N60" s="2" t="inlineStr">
        <is>
          <t>TensorRT-LLM (GPT-OSS-120B); vLLM + NVIDIA Dynamo (Qwen3-VL-235B); CUDA 13.0</t>
        </is>
      </c>
      <c r="O60" s="2" t="inlineStr">
        <is>
          <t>8x NVIDIA B200-SXM-180GB (TGP 1000W).. GPT-OSS-120B via TensorRT-LLM LoadGen harness; Qwen3-VL-235B via NVIDIA inference-endpoint (vLLM+Dynamo), endpoint result format.</t>
        </is>
      </c>
      <c r="P60" s="2">
        <f>HYPERLINK("https://github.com/mlcommons/submissions_inference_v6.0/tree/main/closed/Lambda/results/B200-SXM-180GBx8_TRT","details")</f>
        <v/>
      </c>
      <c r="Q60" s="2">
        <f>HYPERLINK("https://github.com/mlcommons/submissions_inference_v6.0/tree/main/closed/Lambda/src","code")</f>
        <v/>
      </c>
      <c r="AG60" s="1" t="n">
        <v>69.41536196217709</v>
      </c>
      <c r="AH60" s="1" t="n">
        <v>101.5607239508195</v>
      </c>
    </row>
    <row r="61">
      <c r="A61" s="2" t="inlineStr">
        <is>
          <t>6.1-0065</t>
        </is>
      </c>
      <c r="B61" s="2" t="inlineStr">
        <is>
          <t>datacenter/closed/Lambda/GB300-NVL4_GB300-288GB_aarch64x4</t>
        </is>
      </c>
      <c r="C61" s="2" t="inlineStr">
        <is>
          <t>availableLambda</t>
        </is>
      </c>
      <c r="D61" s="2" t="n"/>
      <c r="E61" s="2" t="inlineStr">
        <is>
          <t>Lambda</t>
        </is>
      </c>
      <c r="F61" s="2" t="inlineStr">
        <is>
          <t>available</t>
        </is>
      </c>
      <c r="G61" s="2" t="inlineStr">
        <is>
          <t>Lambda 4x GB300-288GB (GB300 NVL4, aarch64)</t>
        </is>
      </c>
      <c r="H61" s="2" t="n">
        <v>1</v>
      </c>
      <c r="I61" s="2" t="inlineStr">
        <is>
          <t>NVIDIA Grace CPU (Arm Neoverse-V2)</t>
        </is>
      </c>
      <c r="J61" s="2" t="n">
        <v>2</v>
      </c>
      <c r="K61" s="2" t="inlineStr">
        <is>
          <t>NVIDIA GB300</t>
        </is>
      </c>
      <c r="L61" s="2" t="n">
        <v>4</v>
      </c>
      <c r="M61" s="2" t="n">
        <v>4</v>
      </c>
      <c r="N61" s="2" t="inlineStr">
        <is>
          <t>TensorRT-LLM 1.3.0rc14 (GPT-OSS-120B); vLLM (CentML) 0.20.2rc1.dev2091+g2e1040b7e + NVIDIA Dynamo (Qwen3-VL-235B); CUDA 13.0</t>
        </is>
      </c>
      <c r="O61" s="2" t="inlineStr">
        <is>
          <t>Single GB300 NVL4 node (Supermicro PIO-FRU-121GL-NB3-LCC-R1): 2x NVIDIA Grace CPU (72 cores each) + 4x NVIDIA GB300 288GB HBM3e, 1400W TGP per GPU, direct all-to-all 5th-gen NVLink (no NVLink Switch). GPU HBM is exposed as coherent NUMA memory alongside the 960GB of Grace LPDDR5X.. GPT-OSS-120B served with TensorRT-LLM (trtllm-serve, in-flight batching) as 4 data-parallel replicas (one GPU per replica) behind the MLPerf LoadGen harness. Qwen3-VL-235B-A22B served with vLLM + NVIDIA Dynamo as 4 data-parallel replicas (TP=1, one GPU per replica) and benchmarked with the NVIDIA/MLCommons inference-endpoints client; endpoint result format. Both workflows orchestrated by nv-sflow on Slurm with Pyxis/Enroot containers.</t>
        </is>
      </c>
      <c r="P61" s="2">
        <f>HYPERLINK("https://github.com/mlcommons/submissions_inference_v6.0/tree/main/closed/Lambda/results/GB300-NVL4_GB300-288GB_aarch64x4","details")</f>
        <v/>
      </c>
      <c r="Q61" s="2">
        <f>HYPERLINK("https://github.com/mlcommons/submissions_inference_v6.0/tree/main/closed/Lambda/src","code")</f>
        <v/>
      </c>
      <c r="AG61" s="1" t="n">
        <v>64.62448277938189</v>
      </c>
      <c r="AH61" s="1" t="n">
        <v>71.1217334486934</v>
      </c>
      <c r="AJ61" s="1" t="n">
        <v>58195.8</v>
      </c>
      <c r="AK61" s="1" t="n">
        <v>65511.9</v>
      </c>
    </row>
    <row r="62">
      <c r="A62" s="2" t="inlineStr">
        <is>
          <t>6.1-0066</t>
        </is>
      </c>
      <c r="B62" s="2" t="inlineStr">
        <is>
          <t>datacenter/closed/MangoBoost/16xMI355X_2xEPYC_9575F</t>
        </is>
      </c>
      <c r="C62" s="2" t="inlineStr">
        <is>
          <t>availableMangoBoost</t>
        </is>
      </c>
      <c r="D62" s="2" t="n"/>
      <c r="E62" s="2" t="inlineStr">
        <is>
          <t>MangoBoost</t>
        </is>
      </c>
      <c r="F62" s="2" t="inlineStr">
        <is>
          <t>available</t>
        </is>
      </c>
      <c r="G62" s="2" t="inlineStr">
        <is>
          <t>MangoBoost 2x8 MI355X (16x MI355X, LLMBoost P/D Disaggregated Interactive Engine)</t>
        </is>
      </c>
      <c r="H62" s="2" t="n">
        <v>2</v>
      </c>
      <c r="I62" s="2" t="inlineStr">
        <is>
          <t>AMD EPYC 9575F</t>
        </is>
      </c>
      <c r="J62" s="2" t="n">
        <v>2</v>
      </c>
      <c r="K62" s="2" t="inlineStr">
        <is>
          <t>AMD Instinct MI355X 288GB HBM3e</t>
        </is>
      </c>
      <c r="L62" s="2" t="n">
        <v>8</v>
      </c>
      <c r="M62" s="2" t="n">
        <v>16</v>
      </c>
      <c r="N62" s="2" t="inlineStr">
        <is>
          <t>ROCm 7.2.0</t>
        </is>
      </c>
      <c r="O62" s="2" t="inlineStr">
        <is>
          <t>2-node MI355X connect with 8x 40GB/s RDMA NICs. P/D Disaggregation for Interavtive Scenario, and vLLM 0.22.1</t>
        </is>
      </c>
      <c r="P62" s="2">
        <f>HYPERLINK("https://github.com/mlcommons/submissions_inference_v6.0/tree/main/closed/MangoBoost/results/16xMI355X_2xEPYC_9575F","details")</f>
        <v/>
      </c>
      <c r="Q62" s="2">
        <f>HYPERLINK("https://github.com/mlcommons/submissions_inference_v6.0/tree/main/closed/MangoBoost/src","code")</f>
        <v/>
      </c>
      <c r="AK62" s="1" t="n">
        <v>228488</v>
      </c>
      <c r="AL62" s="1" t="n">
        <v>59297.4</v>
      </c>
    </row>
    <row r="63">
      <c r="A63" s="2" t="inlineStr">
        <is>
          <t>6.1-0067</t>
        </is>
      </c>
      <c r="B63" s="2" t="inlineStr">
        <is>
          <t>datacenter/closed/MangoBoost/8xMI300X_2xEPYC_9534</t>
        </is>
      </c>
      <c r="C63" s="2" t="inlineStr">
        <is>
          <t>availableMangoBoost</t>
        </is>
      </c>
      <c r="D63" s="2" t="n"/>
      <c r="E63" s="2" t="inlineStr">
        <is>
          <t>MangoBoost</t>
        </is>
      </c>
      <c r="F63" s="2" t="inlineStr">
        <is>
          <t>available</t>
        </is>
      </c>
      <c r="G63" s="2" t="inlineStr">
        <is>
          <t>8xMI300X_2xEPYC_9534</t>
        </is>
      </c>
      <c r="H63" s="2" t="n">
        <v>1</v>
      </c>
      <c r="I63" s="2" t="inlineStr">
        <is>
          <t>AMD EPYC 9534</t>
        </is>
      </c>
      <c r="J63" s="2" t="n">
        <v>2</v>
      </c>
      <c r="K63" s="2" t="inlineStr">
        <is>
          <t>AMD Instinct MI300X 192GB HBM3</t>
        </is>
      </c>
      <c r="L63" s="2" t="n">
        <v>8</v>
      </c>
      <c r="M63" s="2" t="n">
        <v>8</v>
      </c>
      <c r="N63" s="2" t="inlineStr">
        <is>
          <t>vLLM 0.24.0 (stock vllm/vllm-openai-rocm:v0.24.0), ROCm 7.2.1</t>
        </is>
      </c>
      <c r="O63" s="2" t="inlineStr">
        <is>
          <t>8xMI300X_2xEPYC_9534. Self-quantized w-fp8-a-fp8 gpt-oss-120b (AMD Quark 0.12) on stock vLLM 0.24.0 (vllm/vllm-openai-rocm:v0.24.0).</t>
        </is>
      </c>
      <c r="P63" s="2">
        <f>HYPERLINK("https://github.com/mlcommons/submissions_inference_v6.0/tree/main/closed/MangoBoost/results/8xMI300X_2xEPYC_9534","details")</f>
        <v/>
      </c>
      <c r="Q63" s="2">
        <f>HYPERLINK("https://github.com/mlcommons/submissions_inference_v6.0/tree/main/closed/MangoBoost/src","code")</f>
        <v/>
      </c>
      <c r="AJ63" s="1" t="n">
        <v>24863</v>
      </c>
      <c r="AK63" s="1" t="n">
        <v>30198.4</v>
      </c>
    </row>
    <row r="64">
      <c r="A64" s="2" t="inlineStr">
        <is>
          <t>6.1-0068</t>
        </is>
      </c>
      <c r="B64" s="2" t="inlineStr">
        <is>
          <t>datacenter/closed/MiTAC/8xMI350X_2xEPYC-9755</t>
        </is>
      </c>
      <c r="C64" s="2" t="inlineStr">
        <is>
          <t>availableMiTAC</t>
        </is>
      </c>
      <c r="D64" s="2" t="n"/>
      <c r="E64" s="2" t="inlineStr">
        <is>
          <t>MiTAC</t>
        </is>
      </c>
      <c r="F64" s="2" t="inlineStr">
        <is>
          <t>available</t>
        </is>
      </c>
      <c r="G64" s="2" t="inlineStr">
        <is>
          <t>G8825Z5</t>
        </is>
      </c>
      <c r="H64" s="2" t="n">
        <v>1</v>
      </c>
      <c r="I64" s="2" t="inlineStr">
        <is>
          <t>AMD EPYC 9755</t>
        </is>
      </c>
      <c r="J64" s="2" t="n">
        <v>2</v>
      </c>
      <c r="K64" s="2" t="inlineStr">
        <is>
          <t>AMD Instinct MI350X 288GB HBM3e</t>
        </is>
      </c>
      <c r="L64" s="2" t="n">
        <v>8</v>
      </c>
      <c r="M64" s="2" t="n">
        <v>8</v>
      </c>
      <c r="N64" s="2" t="inlineStr">
        <is>
          <t>Pytorch 2.10, ROCm 7.2.2</t>
        </is>
      </c>
      <c r="O64" s="2" t="n"/>
      <c r="P64" s="2">
        <f>HYPERLINK("https://github.com/mlcommons/submissions_inference_v6.0/tree/main/closed/MiTAC/results/8xMI350X_2xEPYC-9755","details")</f>
        <v/>
      </c>
      <c r="Q64" s="2">
        <f>HYPERLINK("https://github.com/mlcommons/submissions_inference_v6.0/tree/main/closed/MiTAC/src","code")</f>
        <v/>
      </c>
      <c r="T64" s="1" t="n">
        <v>121706</v>
      </c>
      <c r="U64" s="1" t="n">
        <v>129943</v>
      </c>
      <c r="V64" s="1" t="n">
        <v>104368</v>
      </c>
      <c r="W64" s="1" t="n">
        <v>85004.8</v>
      </c>
      <c r="X64" s="1" t="n">
        <v>84016.39999999999</v>
      </c>
      <c r="Y64" s="1" t="n">
        <v>56673</v>
      </c>
      <c r="AJ64" s="1" t="n">
        <v>87549.5</v>
      </c>
      <c r="AK64" s="1" t="n">
        <v>97019.7</v>
      </c>
    </row>
    <row r="65">
      <c r="A65" s="2" t="inlineStr">
        <is>
          <t>6.1-0069</t>
        </is>
      </c>
      <c r="B65" s="2" t="inlineStr">
        <is>
          <t>datacenter/closed/MiTAC/8xMI355X_2xEPYC-9755</t>
        </is>
      </c>
      <c r="C65" s="2" t="inlineStr">
        <is>
          <t>availableMiTAC</t>
        </is>
      </c>
      <c r="D65" s="2" t="n"/>
      <c r="E65" s="2" t="inlineStr">
        <is>
          <t>MiTAC</t>
        </is>
      </c>
      <c r="F65" s="2" t="inlineStr">
        <is>
          <t>available</t>
        </is>
      </c>
      <c r="G65" s="2" t="inlineStr">
        <is>
          <t>G4826</t>
        </is>
      </c>
      <c r="H65" s="2" t="n">
        <v>1</v>
      </c>
      <c r="I65" s="2" t="inlineStr">
        <is>
          <t>AMD EPYC 9755</t>
        </is>
      </c>
      <c r="J65" s="2" t="n">
        <v>2</v>
      </c>
      <c r="K65" s="2" t="inlineStr">
        <is>
          <t>AMD Instinct MI355X 288GB HBM3e</t>
        </is>
      </c>
      <c r="L65" s="2" t="n">
        <v>8</v>
      </c>
      <c r="M65" s="2" t="n">
        <v>8</v>
      </c>
      <c r="N65" s="2" t="inlineStr">
        <is>
          <t>vLLM 0.22.0, PyTorch 2.10.0+git8514f05, ROCm 7.2.53211</t>
        </is>
      </c>
      <c r="O65" s="2" t="n"/>
      <c r="P65" s="2">
        <f>HYPERLINK("https://github.com/mlcommons/submissions_inference_v6.0/tree/main/closed/MiTAC/results/8xMI355X_2xEPYC-9755","details")</f>
        <v/>
      </c>
      <c r="Q65" s="2">
        <f>HYPERLINK("https://github.com/mlcommons/submissions_inference_v6.0/tree/main/closed/MiTAC/src","code")</f>
        <v/>
      </c>
      <c r="T65" s="1" t="n">
        <v>151116</v>
      </c>
      <c r="U65" s="1" t="n">
        <v>159278</v>
      </c>
      <c r="V65" s="1" t="n">
        <v>136999</v>
      </c>
      <c r="W65" s="1" t="n">
        <v>104541</v>
      </c>
      <c r="X65" s="1" t="n">
        <v>104904</v>
      </c>
      <c r="Y65" s="1" t="n">
        <v>74385.60000000001</v>
      </c>
      <c r="AJ65" s="1" t="n">
        <v>108861</v>
      </c>
      <c r="AK65" s="1" t="n">
        <v>118042</v>
      </c>
    </row>
    <row r="66">
      <c r="A66" s="2" t="inlineStr">
        <is>
          <t>6.1-0070</t>
        </is>
      </c>
      <c r="B66" s="2" t="inlineStr">
        <is>
          <t>datacenter/closed/MiTAC/MiTAC_G4520G6_RTX_PRO_6000_PCIE_96GBx8_TRT</t>
        </is>
      </c>
      <c r="C66" s="2" t="inlineStr">
        <is>
          <t>availableMiTAC</t>
        </is>
      </c>
      <c r="D66" s="2" t="n"/>
      <c r="E66" s="2" t="inlineStr">
        <is>
          <t>MiTAC</t>
        </is>
      </c>
      <c r="F66" s="2" t="inlineStr">
        <is>
          <t>available</t>
        </is>
      </c>
      <c r="G66" s="2" t="inlineStr">
        <is>
          <t>MiTAC_G4520G6_RTX_PRO_6000_PCIE_96GBx8</t>
        </is>
      </c>
      <c r="H66" s="2" t="n">
        <v>1</v>
      </c>
      <c r="I66" s="2" t="inlineStr">
        <is>
          <t>Intel(R) Xeon(R) 6787P</t>
        </is>
      </c>
      <c r="J66" s="2" t="n">
        <v>2</v>
      </c>
      <c r="K66" s="2" t="inlineStr">
        <is>
          <t>NVIDIA RTX PRO 6000 Blackwell Server Edition</t>
        </is>
      </c>
      <c r="L66" s="2" t="n">
        <v>8</v>
      </c>
      <c r="M66" s="2" t="n">
        <v>8</v>
      </c>
      <c r="N66" s="2" t="inlineStr">
        <is>
          <t>TensorRT 10.14, CUDA 13.2</t>
        </is>
      </c>
      <c r="O66" s="2" t="n"/>
      <c r="P66" s="2">
        <f>HYPERLINK("https://github.com/mlcommons/submissions_inference_v6.0/tree/main/closed/MiTAC/results/MiTAC_G4520G6_RTX_PRO_6000_PCIE_96GBx8_TRT","details")</f>
        <v/>
      </c>
      <c r="Q66" s="2">
        <f>HYPERLINK("https://github.com/mlcommons/submissions_inference_v6.0/tree/main/closed/MiTAC/src","code")</f>
        <v/>
      </c>
      <c r="W66" s="1" t="n">
        <v>29203.3</v>
      </c>
      <c r="X66" s="1" t="n">
        <v>30034.2</v>
      </c>
    </row>
    <row r="67">
      <c r="A67" s="2" t="inlineStr">
        <is>
          <t>6.1-0071</t>
        </is>
      </c>
      <c r="B67" s="2" t="inlineStr">
        <is>
          <t>datacenter/closed/NVIDIA/B300-SXM-270GBx8_TRT</t>
        </is>
      </c>
      <c r="C67" s="2" t="inlineStr">
        <is>
          <t>availableNVIDIA</t>
        </is>
      </c>
      <c r="D67" s="2" t="n"/>
      <c r="E67" s="2" t="inlineStr">
        <is>
          <t>NVIDIA</t>
        </is>
      </c>
      <c r="F67" s="2" t="inlineStr">
        <is>
          <t>available</t>
        </is>
      </c>
      <c r="G67" s="2" t="inlineStr">
        <is>
          <t>NVIDIA DGX B300 (8x B300-SXM-270GB, TensorRT)</t>
        </is>
      </c>
      <c r="H67" s="2" t="n">
        <v>1</v>
      </c>
      <c r="I67" s="2" t="inlineStr">
        <is>
          <t>Intel(R) Xeon(R) Platinum 8570</t>
        </is>
      </c>
      <c r="J67" s="2" t="n">
        <v>2</v>
      </c>
      <c r="K67" s="2" t="inlineStr">
        <is>
          <t>NVIDIA B300-SXM-270GB</t>
        </is>
      </c>
      <c r="L67" s="2" t="n">
        <v>8</v>
      </c>
      <c r="M67" s="2" t="n">
        <v>8</v>
      </c>
      <c r="N67" s="2" t="inlineStr">
        <is>
          <t>TensorRT 10.14, CUDA 13.1, cuDNN 9.17, TensorRT-LLM feat/1.2-mlpinf, NVIDIA Dynamo mlperf-v6.0-dynamo-v0.8.0, vLLM CentML:mlperf-inf-mm-q3vl-v6.1</t>
        </is>
      </c>
      <c r="O67" s="2" t="inlineStr">
        <is>
          <t>B300 TGP 1100W</t>
        </is>
      </c>
      <c r="P67" s="2">
        <f>HYPERLINK("https://github.com/mlcommons/submissions_inference_v6.0/tree/main/closed/NVIDIA/results/B300-SXM-270GBx8_TRT","details")</f>
        <v/>
      </c>
      <c r="Q67" s="2">
        <f>HYPERLINK("https://github.com/mlcommons/submissions_inference_v6.0/tree/main/closed/NVIDIA/src","code")</f>
        <v/>
      </c>
      <c r="W67" s="1" t="n">
        <v>106949</v>
      </c>
      <c r="X67" s="1" t="n">
        <v>109277</v>
      </c>
      <c r="AA67" s="1" t="n">
        <v>59867.8</v>
      </c>
      <c r="AB67" s="1" t="n">
        <v>70132.3</v>
      </c>
      <c r="AE67" s="1" t="n">
        <v>17.97718330692361</v>
      </c>
      <c r="AF67" s="1" t="n">
        <v>0.0621886628274087</v>
      </c>
      <c r="AG67" s="1" t="n">
        <v>104.5781916389203</v>
      </c>
      <c r="AH67" s="1" t="n">
        <v>129.3583917213701</v>
      </c>
      <c r="AI67" s="1" t="n">
        <v>3.994428963207542</v>
      </c>
      <c r="AJ67" s="1" t="n">
        <v>100630</v>
      </c>
      <c r="AK67" s="1" t="n">
        <v>106637</v>
      </c>
    </row>
    <row r="68">
      <c r="A68" s="2" t="inlineStr">
        <is>
          <t>6.1-0072</t>
        </is>
      </c>
      <c r="B68" s="2" t="inlineStr">
        <is>
          <t>datacenter/closed/NVIDIA/GB200-NVL72_GB200-186GB_aarch64x72_TRT</t>
        </is>
      </c>
      <c r="C68" s="2" t="inlineStr">
        <is>
          <t>availableNVIDIA</t>
        </is>
      </c>
      <c r="D68" s="2" t="n"/>
      <c r="E68" s="2" t="inlineStr">
        <is>
          <t>NVIDIA</t>
        </is>
      </c>
      <c r="F68" s="2" t="inlineStr">
        <is>
          <t>available</t>
        </is>
      </c>
      <c r="G68" s="2" t="inlineStr">
        <is>
          <t>NVIDIA GB200 NVL72 (72x GB200-186GB_aarch64, TensorRT)</t>
        </is>
      </c>
      <c r="H68" s="2" t="n">
        <v>18</v>
      </c>
      <c r="I68" s="2" t="inlineStr">
        <is>
          <t>NVIDIA Grace CPU</t>
        </is>
      </c>
      <c r="J68" s="2" t="n">
        <v>2</v>
      </c>
      <c r="K68" s="2" t="inlineStr">
        <is>
          <t>NVIDIA GB200</t>
        </is>
      </c>
      <c r="L68" s="2" t="n">
        <v>4</v>
      </c>
      <c r="M68" s="2" t="n">
        <v>72</v>
      </c>
      <c r="N68" s="2" t="inlineStr">
        <is>
          <t>TensorRT 10.14, CUDA 13.1, cuDNN 9.17, TensorRT-LLM feat/1.2-mlpinf, NVIDIA Dynamo mlperf-v6.0-dynamo-v0.8.0, vLLM CentML:mlperf-inf-mm-q3vl-v6.1</t>
        </is>
      </c>
      <c r="O68" s="2" t="inlineStr">
        <is>
          <t>NVIDIA GB200 NVL72, 1200W TGP Per GPU</t>
        </is>
      </c>
      <c r="P68" s="2">
        <f>HYPERLINK("https://github.com/mlcommons/submissions_inference_v6.0/tree/main/closed/NVIDIA/results/GB200-NVL72_GB200-186GB_aarch64x72_TRT","details")</f>
        <v/>
      </c>
      <c r="Q68" s="2">
        <f>HYPERLINK("https://github.com/mlcommons/submissions_inference_v6.0/tree/main/closed/NVIDIA/src","code")</f>
        <v/>
      </c>
      <c r="AA68" s="1" t="n">
        <v>395940</v>
      </c>
      <c r="AB68" s="1" t="n">
        <v>523790</v>
      </c>
      <c r="AC68" s="1" t="n">
        <v>240274</v>
      </c>
      <c r="AE68" s="1" t="n">
        <v>5.731549943319444</v>
      </c>
      <c r="AF68" s="1" t="n">
        <v>0.4960942571652712</v>
      </c>
      <c r="AJ68" s="1" t="n">
        <v>899005</v>
      </c>
      <c r="AK68" s="1" t="n">
        <v>883761</v>
      </c>
      <c r="AL68" s="1" t="n">
        <v>625205</v>
      </c>
    </row>
    <row r="69">
      <c r="A69" s="2" t="inlineStr">
        <is>
          <t>6.1-0073</t>
        </is>
      </c>
      <c r="B69" s="2" t="inlineStr">
        <is>
          <t>datacenter/closed/NVIDIA/GB300-NVL72_GB300-288GB_aarch64x288_TRT</t>
        </is>
      </c>
      <c r="C69" s="2" t="inlineStr">
        <is>
          <t>availableNVIDIA</t>
        </is>
      </c>
      <c r="D69" s="2" t="n"/>
      <c r="E69" s="2" t="inlineStr">
        <is>
          <t>NVIDIA</t>
        </is>
      </c>
      <c r="F69" s="2" t="inlineStr">
        <is>
          <t>available</t>
        </is>
      </c>
      <c r="G69" s="2" t="inlineStr">
        <is>
          <t>NVIDIA GB300 NVL72 (72x GB300-288GB_aarch64, TensorRT)</t>
        </is>
      </c>
      <c r="H69" s="2" t="n">
        <v>72</v>
      </c>
      <c r="I69" s="2" t="inlineStr">
        <is>
          <t>NVIDIA Grace CPU</t>
        </is>
      </c>
      <c r="J69" s="2" t="n">
        <v>2</v>
      </c>
      <c r="K69" s="2" t="inlineStr">
        <is>
          <t>NVIDIA GB300</t>
        </is>
      </c>
      <c r="L69" s="2" t="n">
        <v>4</v>
      </c>
      <c r="M69" s="2" t="n">
        <v>288</v>
      </c>
      <c r="N69" s="2" t="inlineStr">
        <is>
          <t>TensorRT 10.14, CUDA 13.1, cuDNN 9.17, TensorRT-LLM feat/1.2-mlpinf, NVIDIA Dynamo mlperf-v6.0-dynamo-v0.8.0, vLLM CentML:mlperf-inf-mm-q3vl-v6.1</t>
        </is>
      </c>
      <c r="O69" s="2" t="inlineStr">
        <is>
          <t>NVIDIA GB300 NVL72</t>
        </is>
      </c>
      <c r="P69" s="2">
        <f>HYPERLINK("https://github.com/mlcommons/submissions_inference_v6.0/tree/main/closed/NVIDIA/results/GB300-NVL72_GB300-288GB_aarch64x288_TRT","details")</f>
        <v/>
      </c>
      <c r="Q69" s="2">
        <f>HYPERLINK("https://github.com/mlcommons/submissions_inference_v6.0/tree/main/closed/NVIDIA/src","code")</f>
        <v/>
      </c>
      <c r="AA69" s="1" t="n">
        <v>2028030</v>
      </c>
      <c r="AB69" s="1" t="n">
        <v>2705130</v>
      </c>
    </row>
    <row r="70">
      <c r="A70" s="2" t="inlineStr">
        <is>
          <t>6.1-0074</t>
        </is>
      </c>
      <c r="B70" s="2" t="inlineStr">
        <is>
          <t>datacenter/closed/NVIDIA/GB300-NVL72_GB300-288GB_aarch64x72_TRT</t>
        </is>
      </c>
      <c r="C70" s="2" t="inlineStr">
        <is>
          <t>availableNVIDIA</t>
        </is>
      </c>
      <c r="D70" s="2" t="n"/>
      <c r="E70" s="2" t="inlineStr">
        <is>
          <t>NVIDIA</t>
        </is>
      </c>
      <c r="F70" s="2" t="inlineStr">
        <is>
          <t>available</t>
        </is>
      </c>
      <c r="G70" s="2" t="inlineStr">
        <is>
          <t>NVIDIA GB300 NVL72 (72x GB300-288GB_aarch64, TensorRT)</t>
        </is>
      </c>
      <c r="H70" s="2" t="n">
        <v>18</v>
      </c>
      <c r="I70" s="2" t="inlineStr">
        <is>
          <t>NVIDIA Grace CPU</t>
        </is>
      </c>
      <c r="J70" s="2" t="n">
        <v>2</v>
      </c>
      <c r="K70" s="2" t="inlineStr">
        <is>
          <t>NVIDIA GB300</t>
        </is>
      </c>
      <c r="L70" s="2" t="n">
        <v>4</v>
      </c>
      <c r="M70" s="2" t="n">
        <v>72</v>
      </c>
      <c r="N70" s="2" t="inlineStr">
        <is>
          <t>TensorRT 10.14, CUDA 13.1, cuDNN 9.17, TensorRT-LLM feat/1.2-mlpinf, NVIDIA Dynamo mlperf-v6.0-dynamo-v0.8.0, vLLM CentML:mlperf-inf-mm-q3vl-v6.1</t>
        </is>
      </c>
      <c r="O70" s="2" t="inlineStr">
        <is>
          <t>NVIDIA GB300 NVL72, 1400W TGP Per GPU</t>
        </is>
      </c>
      <c r="P70" s="2">
        <f>HYPERLINK("https://github.com/mlcommons/submissions_inference_v6.0/tree/main/closed/NVIDIA/results/GB300-NVL72_GB300-288GB_aarch64x72_TRT","details")</f>
        <v/>
      </c>
      <c r="Q70" s="2">
        <f>HYPERLINK("https://github.com/mlcommons/submissions_inference_v6.0/tree/main/closed/NVIDIA/src","code")</f>
        <v/>
      </c>
      <c r="AA70" s="1" t="n">
        <v>596944</v>
      </c>
      <c r="AB70" s="1" t="n">
        <v>679740</v>
      </c>
      <c r="AC70" s="1" t="n">
        <v>253506</v>
      </c>
      <c r="AE70" s="1" t="n">
        <v>5.807651162902777</v>
      </c>
      <c r="AF70" s="1" t="n">
        <v>0.6546111599325777</v>
      </c>
      <c r="AG70" s="1" t="n">
        <v>1210.48823482974</v>
      </c>
      <c r="AH70" s="1" t="n">
        <v>1304.985262579748</v>
      </c>
      <c r="AI70" s="1" t="n">
        <v>349.2921988473666</v>
      </c>
      <c r="AJ70" s="1" t="n">
        <v>1120710</v>
      </c>
      <c r="AK70" s="1" t="n">
        <v>1124500</v>
      </c>
      <c r="AL70" s="1" t="n">
        <v>669305</v>
      </c>
    </row>
    <row r="71">
      <c r="A71" s="2" t="inlineStr">
        <is>
          <t>6.1-0075</t>
        </is>
      </c>
      <c r="B71" s="2" t="inlineStr">
        <is>
          <t>datacenter/closed/NVIDIA/GB300-NVL72_GB300-288GB_aarch64x8_TRT</t>
        </is>
      </c>
      <c r="C71" s="2" t="inlineStr">
        <is>
          <t>availableNVIDIA</t>
        </is>
      </c>
      <c r="D71" s="2" t="n"/>
      <c r="E71" s="2" t="inlineStr">
        <is>
          <t>NVIDIA</t>
        </is>
      </c>
      <c r="F71" s="2" t="inlineStr">
        <is>
          <t>available</t>
        </is>
      </c>
      <c r="G71" s="2" t="inlineStr">
        <is>
          <t>NVIDIA GB300 NVL72 (8x GB300-288GB_aarch64, TensorRT)</t>
        </is>
      </c>
      <c r="H71" s="2" t="n">
        <v>2</v>
      </c>
      <c r="I71" s="2" t="inlineStr">
        <is>
          <t>NVIDIA Grace CPU</t>
        </is>
      </c>
      <c r="J71" s="2" t="n">
        <v>2</v>
      </c>
      <c r="K71" s="2" t="inlineStr">
        <is>
          <t>NVIDIA GB300</t>
        </is>
      </c>
      <c r="L71" s="2" t="n">
        <v>4</v>
      </c>
      <c r="M71" s="2" t="n">
        <v>8</v>
      </c>
      <c r="N71" s="2" t="inlineStr">
        <is>
          <t>TensorRT 10.14, CUDA 13.1, cuDNN 9.17, TensorRT-LLM feat/1.2-mlpinf, NVIDIA Dynamo mlperf-v6.0-dynamo-v0.8.0, vLLM CentML:mlperf-inf-mm-q3vl-v6.1</t>
        </is>
      </c>
      <c r="O71" s="2" t="inlineStr">
        <is>
          <t>NVIDIA GB300 NVL72, 1400W TGP Per GPU</t>
        </is>
      </c>
      <c r="P71" s="2">
        <f>HYPERLINK("https://github.com/mlcommons/submissions_inference_v6.0/tree/main/closed/NVIDIA/results/GB300-NVL72_GB300-288GB_aarch64x8_TRT","details")</f>
        <v/>
      </c>
      <c r="Q71" s="2">
        <f>HYPERLINK("https://github.com/mlcommons/submissions_inference_v6.0/tree/main/closed/NVIDIA/src","code")</f>
        <v/>
      </c>
      <c r="W71" s="1" t="n">
        <v>127911</v>
      </c>
      <c r="X71" s="1" t="n">
        <v>131464</v>
      </c>
      <c r="AA71" s="1" t="n">
        <v>67578.3</v>
      </c>
      <c r="AB71" s="1" t="n">
        <v>75918.2</v>
      </c>
      <c r="AJ71" s="1" t="n">
        <v>128173</v>
      </c>
      <c r="AK71" s="1" t="n">
        <v>131619</v>
      </c>
    </row>
    <row r="72">
      <c r="A72" s="2" t="inlineStr">
        <is>
          <t>6.1-0077</t>
        </is>
      </c>
      <c r="B72" s="2" t="inlineStr">
        <is>
          <t>datacenter/closed/Nebius/B200-SXM-180GBx8_TRT</t>
        </is>
      </c>
      <c r="C72" s="2" t="inlineStr">
        <is>
          <t>availableNebius</t>
        </is>
      </c>
      <c r="D72" s="2" t="n"/>
      <c r="E72" s="2" t="inlineStr">
        <is>
          <t>Nebius</t>
        </is>
      </c>
      <c r="F72" s="2" t="inlineStr">
        <is>
          <t>available</t>
        </is>
      </c>
      <c r="G72" s="2" t="inlineStr">
        <is>
          <t>Nebius B200 n1 (8x B200-SXM-180GB, TensorRT)</t>
        </is>
      </c>
      <c r="H72" s="2" t="n">
        <v>1</v>
      </c>
      <c r="I72" s="2" t="inlineStr">
        <is>
          <t>Intel(R) Xeon(R) Platinum 8580</t>
        </is>
      </c>
      <c r="J72" s="2" t="n">
        <v>2</v>
      </c>
      <c r="K72" s="2" t="inlineStr">
        <is>
          <t>NVIDIA B200-SXM-180GB</t>
        </is>
      </c>
      <c r="L72" s="2" t="n">
        <v>8</v>
      </c>
      <c r="M72" s="2" t="n">
        <v>8</v>
      </c>
      <c r="N72" s="2" t="inlineStr">
        <is>
          <t>TensorRT 10.14, CUDA 13.1, cuDNN 9.17, TensorRT-LLM feat/1.2-mlpinf, NVIDIA Dynamo mlperf-v6.0-dynamo-v0.8.0, vLLM CentML:mlperf-inf-mm-q3vl-v6.0</t>
        </is>
      </c>
      <c r="O72" s="2" t="inlineStr">
        <is>
          <t>B200 TGP 1000W</t>
        </is>
      </c>
      <c r="P72" s="2">
        <f>HYPERLINK("https://github.com/mlcommons/submissions_inference_v6.0/tree/main/closed/Nebius/results/B200-SXM-180GBx8_TRT","details")</f>
        <v/>
      </c>
      <c r="Q72" s="2">
        <f>HYPERLINK("https://github.com/mlcommons/submissions_inference_v6.0/tree/main/closed/Nebius/src","code")</f>
        <v/>
      </c>
      <c r="AA72" s="1" t="n">
        <v>55869</v>
      </c>
      <c r="AB72" s="1" t="n">
        <v>56929.9</v>
      </c>
      <c r="AJ72" s="1" t="n">
        <v>89856.3</v>
      </c>
      <c r="AK72" s="1" t="n">
        <v>88491</v>
      </c>
    </row>
    <row r="73">
      <c r="A73" s="2" t="inlineStr">
        <is>
          <t>6.1-0078</t>
        </is>
      </c>
      <c r="B73" s="2" t="inlineStr">
        <is>
          <t>datacenter/closed/Nebius/B300-SXM-270GBx8_TRT</t>
        </is>
      </c>
      <c r="C73" s="2" t="inlineStr">
        <is>
          <t>availableNebius</t>
        </is>
      </c>
      <c r="D73" s="2" t="n"/>
      <c r="E73" s="2" t="inlineStr">
        <is>
          <t>Nebius</t>
        </is>
      </c>
      <c r="F73" s="2" t="inlineStr">
        <is>
          <t>available</t>
        </is>
      </c>
      <c r="G73" s="2" t="inlineStr">
        <is>
          <t>Nebius B300 n1 (8x B300-SXM-270GB, TensorRT)</t>
        </is>
      </c>
      <c r="H73" s="2" t="n">
        <v>1</v>
      </c>
      <c r="I73" s="2" t="inlineStr">
        <is>
          <t>Intel(R) Xeon(R) Platinum 8570</t>
        </is>
      </c>
      <c r="J73" s="2" t="n">
        <v>2</v>
      </c>
      <c r="K73" s="2" t="inlineStr">
        <is>
          <t>NVIDIA B300-SXM-270GB</t>
        </is>
      </c>
      <c r="L73" s="2" t="n">
        <v>8</v>
      </c>
      <c r="M73" s="2" t="n">
        <v>8</v>
      </c>
      <c r="N73" s="2" t="inlineStr">
        <is>
          <t>TensorRT 10.14, CUDA 13.1, cuDNN 9.17, TensorRT-LLM feat/1.2-mlpinf, NVIDIA Dynamo mlperf-v6.0-dynamo-v0.8.0, vLLM CentML:mlperf-inf-mm-q3vl-v6.0</t>
        </is>
      </c>
      <c r="O73" s="2" t="inlineStr">
        <is>
          <t>B300 TGP 1100W</t>
        </is>
      </c>
      <c r="P73" s="2">
        <f>HYPERLINK("https://github.com/mlcommons/submissions_inference_v6.0/tree/main/closed/Nebius/results/B300-SXM-270GBx8_TRT","details")</f>
        <v/>
      </c>
      <c r="Q73" s="2">
        <f>HYPERLINK("https://github.com/mlcommons/submissions_inference_v6.0/tree/main/closed/Nebius/src","code")</f>
        <v/>
      </c>
      <c r="AA73" s="1" t="n">
        <v>63909.3</v>
      </c>
      <c r="AB73" s="1" t="n">
        <v>69655.10000000001</v>
      </c>
      <c r="AG73" s="1" t="n">
        <v>112.2858237129371</v>
      </c>
      <c r="AH73" s="1" t="n">
        <v>131.4771630075575</v>
      </c>
      <c r="AJ73" s="1" t="n">
        <v>108124</v>
      </c>
      <c r="AK73" s="1" t="n">
        <v>108529</v>
      </c>
    </row>
    <row r="74">
      <c r="A74" s="2" t="inlineStr">
        <is>
          <t>6.1-0079</t>
        </is>
      </c>
      <c r="B74" s="2" t="inlineStr">
        <is>
          <t>datacenter/closed/Nebius/GB300-NVL72_GB300-288GB_aarch64x4_TRT</t>
        </is>
      </c>
      <c r="C74" s="2" t="inlineStr">
        <is>
          <t>availableNebius</t>
        </is>
      </c>
      <c r="D74" s="2" t="n"/>
      <c r="E74" s="2" t="inlineStr">
        <is>
          <t>Nebius</t>
        </is>
      </c>
      <c r="F74" s="2" t="inlineStr">
        <is>
          <t>available</t>
        </is>
      </c>
      <c r="G74" s="2" t="inlineStr">
        <is>
          <t>Nebius GB300 NVL72 (4x GB300-288GB_aarch64, TensorRT)</t>
        </is>
      </c>
      <c r="H74" s="2" t="n">
        <v>1</v>
      </c>
      <c r="I74" s="2" t="inlineStr">
        <is>
          <t>NVIDIA Grace CPU</t>
        </is>
      </c>
      <c r="J74" s="2" t="n">
        <v>2</v>
      </c>
      <c r="K74" s="2" t="inlineStr">
        <is>
          <t>NVIDIA GB300</t>
        </is>
      </c>
      <c r="L74" s="2" t="n">
        <v>4</v>
      </c>
      <c r="M74" s="2" t="n">
        <v>4</v>
      </c>
      <c r="N74" s="2" t="inlineStr">
        <is>
          <t>TensorRT 10.14, CUDA 13.1, cuDNN 9.17, TensorRT-LLM feat/1.2-mlpinf, NVIDIA Dynamo mlperf-v6.0-dynamo-v0.8.0, vLLM CentML:mlperf-inf-mm-q3vl-v6.0</t>
        </is>
      </c>
      <c r="O74" s="2" t="inlineStr">
        <is>
          <t>NVIDIA GB300 NVL72, 1400W TGP Per GPU</t>
        </is>
      </c>
      <c r="P74" s="2">
        <f>HYPERLINK("https://github.com/mlcommons/submissions_inference_v6.0/tree/main/closed/Nebius/results/GB300-NVL72_GB300-288GB_aarch64x4_TRT","details")</f>
        <v/>
      </c>
      <c r="Q74" s="2">
        <f>HYPERLINK("https://github.com/mlcommons/submissions_inference_v6.0/tree/main/closed/Nebius/src","code")</f>
        <v/>
      </c>
      <c r="AG74" s="1" t="n">
        <v>64.61995222586359</v>
      </c>
      <c r="AH74" s="1" t="n">
        <v>73.18605442300793</v>
      </c>
    </row>
    <row r="75">
      <c r="A75" s="2" t="inlineStr">
        <is>
          <t>6.1-0080</t>
        </is>
      </c>
      <c r="B75" s="2" t="inlineStr">
        <is>
          <t>datacenter/closed/Nebius/GB300-NVL72_GB300-288GB_aarch64x72_TRT</t>
        </is>
      </c>
      <c r="C75" s="2" t="inlineStr">
        <is>
          <t>availableNebius</t>
        </is>
      </c>
      <c r="D75" s="2" t="n"/>
      <c r="E75" s="2" t="inlineStr">
        <is>
          <t>Nebius</t>
        </is>
      </c>
      <c r="F75" s="2" t="inlineStr">
        <is>
          <t>available</t>
        </is>
      </c>
      <c r="G75" s="2" t="inlineStr">
        <is>
          <t>Nebius GB300 NVL72 (72x GB300-288GB_aarch64, TensorRT)</t>
        </is>
      </c>
      <c r="H75" s="2" t="n">
        <v>18</v>
      </c>
      <c r="I75" s="2" t="inlineStr">
        <is>
          <t>NVIDIA Grace CPU</t>
        </is>
      </c>
      <c r="J75" s="2" t="n">
        <v>2</v>
      </c>
      <c r="K75" s="2" t="inlineStr">
        <is>
          <t>NVIDIA GB300</t>
        </is>
      </c>
      <c r="L75" s="2" t="n">
        <v>4</v>
      </c>
      <c r="M75" s="2" t="n">
        <v>72</v>
      </c>
      <c r="N75" s="2" t="inlineStr">
        <is>
          <t>TensorRT 10.14, CUDA 13.1, cuDNN 9.17, TensorRT-LLM feat/1.2-mlpinf, NVIDIA Dynamo mlperf-v6.0-dynamo-v0.8.0, vLLM CentML:mlperf-inf-mm-q3vl-v6.0</t>
        </is>
      </c>
      <c r="O75" s="2" t="inlineStr">
        <is>
          <t>NVIDIA GB300 NVL72, 1400W TGP Per GPU</t>
        </is>
      </c>
      <c r="P75" s="2">
        <f>HYPERLINK("https://github.com/mlcommons/submissions_inference_v6.0/tree/main/closed/Nebius/results/GB300-NVL72_GB300-288GB_aarch64x72_TRT","details")</f>
        <v/>
      </c>
      <c r="Q75" s="2">
        <f>HYPERLINK("https://github.com/mlcommons/submissions_inference_v6.0/tree/main/closed/Nebius/src","code")</f>
        <v/>
      </c>
      <c r="AA75" s="1" t="n">
        <v>603023</v>
      </c>
      <c r="AB75" s="1" t="n">
        <v>689961</v>
      </c>
      <c r="AJ75" s="1" t="n">
        <v>1122490</v>
      </c>
      <c r="AK75" s="1" t="n">
        <v>1186750</v>
      </c>
    </row>
    <row r="76">
      <c r="A76" s="2" t="inlineStr">
        <is>
          <t>6.1-0081</t>
        </is>
      </c>
      <c r="B76" s="2" t="inlineStr">
        <is>
          <t>datacenter/closed/Nebius/GB300-NVL72_GB300-288GB_aarch64x8_TRT</t>
        </is>
      </c>
      <c r="C76" s="2" t="inlineStr">
        <is>
          <t>availableNebius</t>
        </is>
      </c>
      <c r="D76" s="2" t="n"/>
      <c r="E76" s="2" t="inlineStr">
        <is>
          <t>Nebius</t>
        </is>
      </c>
      <c r="F76" s="2" t="inlineStr">
        <is>
          <t>available</t>
        </is>
      </c>
      <c r="G76" s="2" t="inlineStr">
        <is>
          <t>Nebius GB300 NVL72 (8x GB300-288GB_aarch64, TensorRT)</t>
        </is>
      </c>
      <c r="H76" s="2" t="n">
        <v>2</v>
      </c>
      <c r="I76" s="2" t="inlineStr">
        <is>
          <t>NVIDIA Grace CPU</t>
        </is>
      </c>
      <c r="J76" s="2" t="n">
        <v>2</v>
      </c>
      <c r="K76" s="2" t="inlineStr">
        <is>
          <t>NVIDIA GB300</t>
        </is>
      </c>
      <c r="L76" s="2" t="n">
        <v>4</v>
      </c>
      <c r="M76" s="2" t="n">
        <v>8</v>
      </c>
      <c r="N76" s="2" t="inlineStr">
        <is>
          <t>TensorRT 10.14, CUDA 13.1, cuDNN 9.17, TensorRT-LLM feat/1.2-mlpinf, NVIDIA Dynamo mlperf-v6.0-dynamo-v0.8.0, vLLM CentML:mlperf-inf-mm-q3vl-v6.0</t>
        </is>
      </c>
      <c r="O76" s="2" t="inlineStr">
        <is>
          <t>NVIDIA GB300 NVL72, 1400W TGP Per GPU</t>
        </is>
      </c>
      <c r="P76" s="2">
        <f>HYPERLINK("https://github.com/mlcommons/submissions_inference_v6.0/tree/main/closed/Nebius/results/GB300-NVL72_GB300-288GB_aarch64x8_TRT","details")</f>
        <v/>
      </c>
      <c r="Q76" s="2">
        <f>HYPERLINK("https://github.com/mlcommons/submissions_inference_v6.0/tree/main/closed/Nebius/src","code")</f>
        <v/>
      </c>
      <c r="AJ76" s="1" t="n">
        <v>127921</v>
      </c>
      <c r="AK76" s="1" t="n">
        <v>132236</v>
      </c>
    </row>
    <row r="77">
      <c r="A77" s="2" t="inlineStr">
        <is>
          <t>6.1-0082</t>
        </is>
      </c>
      <c r="B77" s="2" t="inlineStr">
        <is>
          <t>datacenter/closed/Nebius/RTX_PRO_6000_PCIE_96GBx8_TRT</t>
        </is>
      </c>
      <c r="C77" s="2" t="inlineStr">
        <is>
          <t>availableNebius</t>
        </is>
      </c>
      <c r="D77" s="2" t="n"/>
      <c r="E77" s="2" t="inlineStr">
        <is>
          <t>Nebius</t>
        </is>
      </c>
      <c r="F77" s="2" t="inlineStr">
        <is>
          <t>available</t>
        </is>
      </c>
      <c r="G77" s="2" t="inlineStr">
        <is>
          <t>Nebius RTX PRO 6000 n1 (8x RTX-PRO-6000-PCIE-96GB, TensorRT)</t>
        </is>
      </c>
      <c r="H77" s="2" t="n">
        <v>1</v>
      </c>
      <c r="I77" s="2" t="inlineStr">
        <is>
          <t>Intel(R) Xeon(R) 6776P</t>
        </is>
      </c>
      <c r="J77" s="2" t="n">
        <v>2</v>
      </c>
      <c r="K77" s="2" t="inlineStr">
        <is>
          <t>NVIDIA RTX PRO 6000 Blackwell Server Edition</t>
        </is>
      </c>
      <c r="L77" s="2" t="n">
        <v>8</v>
      </c>
      <c r="M77" s="2" t="n">
        <v>8</v>
      </c>
      <c r="N77" s="2" t="inlineStr">
        <is>
          <t>TensorRT 10.14, CUDA 13.1, cuDNN 9.17, TensorRT-LLM feat/1.2-mlpinf, NVIDIA Dynamo mlperf-v6.0-dynamo-v0.8.0, vLLM CentML:mlperf-inf-mm-q3vl-v6.0</t>
        </is>
      </c>
      <c r="O77" s="2" t="inlineStr">
        <is>
          <t>KVM virtual machine with 192 vCPUs presented as 2 sockets x 48 cores x 2 threads; 2 virtual NUMA nodes; 8 attached GPUs with 600 W power limit each. nvidia-smi reports CUDA 13.0 driver compatibility; CUDA toolkit and runtime versions are container-specific</t>
        </is>
      </c>
      <c r="P77" s="2">
        <f>HYPERLINK("https://github.com/mlcommons/submissions_inference_v6.0/tree/main/closed/Nebius/results/RTX_PRO_6000_PCIE_96GBx8_TRT","details")</f>
        <v/>
      </c>
      <c r="Q77" s="2">
        <f>HYPERLINK("https://github.com/mlcommons/submissions_inference_v6.0/tree/main/closed/Nebius/src","code")</f>
        <v/>
      </c>
      <c r="AJ77" s="1" t="n">
        <v>14784.3</v>
      </c>
      <c r="AK77" s="1" t="n">
        <v>15738.5</v>
      </c>
    </row>
    <row r="78">
      <c r="A78" s="2" t="inlineStr">
        <is>
          <t>6.1-0083</t>
        </is>
      </c>
      <c r="B78" s="2" t="inlineStr">
        <is>
          <t>datacenter/closed/Oracle/1-node-1S-GNR_120C</t>
        </is>
      </c>
      <c r="C78" s="2" t="inlineStr">
        <is>
          <t>availableOracle</t>
        </is>
      </c>
      <c r="D78" s="2" t="n"/>
      <c r="E78" s="2" t="inlineStr">
        <is>
          <t>Oracle</t>
        </is>
      </c>
      <c r="F78" s="2" t="inlineStr">
        <is>
          <t>available</t>
        </is>
      </c>
      <c r="G78" s="2" t="inlineStr">
        <is>
          <t>BM.Standard4.Ax.120</t>
        </is>
      </c>
      <c r="H78" s="2" t="n">
        <v>1</v>
      </c>
      <c r="I78" s="2" t="inlineStr">
        <is>
          <t>Intel(R) Xeon(R) 6987P-C</t>
        </is>
      </c>
      <c r="J78" s="2" t="n">
        <v>1</v>
      </c>
      <c r="K78" s="2" t="n"/>
      <c r="L78" s="2" t="n"/>
      <c r="M78" s="2" t="n">
        <v>0</v>
      </c>
      <c r="N78" s="2" t="inlineStr">
        <is>
          <t>PyTorch</t>
        </is>
      </c>
      <c r="O78" s="2" t="n"/>
      <c r="P78" s="2">
        <f>HYPERLINK("https://github.com/mlcommons/submissions_inference_v6.0/tree/main/closed/Oracle/results/1-node-1S-GNR_120C","details")</f>
        <v/>
      </c>
      <c r="Q78" s="2">
        <f>HYPERLINK("https://github.com/mlcommons/submissions_inference_v6.0/tree/main/closed/Oracle/src","code")</f>
        <v/>
      </c>
      <c r="T78" s="1" t="n">
        <v>324.995</v>
      </c>
      <c r="U78" s="1" t="n">
        <v>853.14</v>
      </c>
      <c r="AD78" s="1" t="n">
        <v>1099.64</v>
      </c>
    </row>
    <row r="79">
      <c r="A79" s="2" t="inlineStr">
        <is>
          <t>6.1-0084</t>
        </is>
      </c>
      <c r="B79" s="2" t="inlineStr">
        <is>
          <t>datacenter/closed/Oracle/8xMI355X_2xEPYC-9575F</t>
        </is>
      </c>
      <c r="C79" s="2" t="inlineStr">
        <is>
          <t>availableOracle</t>
        </is>
      </c>
      <c r="D79" s="2" t="n"/>
      <c r="E79" s="2" t="inlineStr">
        <is>
          <t>Oracle</t>
        </is>
      </c>
      <c r="F79" s="2" t="inlineStr">
        <is>
          <t>available</t>
        </is>
      </c>
      <c r="G79" s="2" t="inlineStr">
        <is>
          <t>8xMI355X_2xEPYC_9575F</t>
        </is>
      </c>
      <c r="H79" s="2" t="n">
        <v>1</v>
      </c>
      <c r="I79" s="2" t="inlineStr">
        <is>
          <t>AMD EPYC 9575F</t>
        </is>
      </c>
      <c r="J79" s="2" t="n">
        <v>2</v>
      </c>
      <c r="K79" s="2" t="inlineStr">
        <is>
          <t>AMD Instinct MI355X 288GB HBM3e</t>
        </is>
      </c>
      <c r="L79" s="2" t="n">
        <v>8</v>
      </c>
      <c r="M79" s="2" t="n">
        <v>8</v>
      </c>
      <c r="N79" s="2" t="inlineStr">
        <is>
          <t>vLLM 0.22.0, PyTorch 2.10.0, ROCm 7.2.2</t>
        </is>
      </c>
      <c r="O79" s="2" t="inlineStr">
        <is>
          <t>8x AMD Instinct MI355X (gfx950), 288GB HBM3E each. MXFP4 (W4A4) weights with FP8 KV cache, Quark quantization</t>
        </is>
      </c>
      <c r="P79" s="2">
        <f>HYPERLINK("https://github.com/mlcommons/submissions_inference_v6.0/tree/main/closed/Oracle/results/8xMI355X_2xEPYC-9575F","details")</f>
        <v/>
      </c>
      <c r="Q79" s="2">
        <f>HYPERLINK("https://github.com/mlcommons/submissions_inference_v6.0/tree/main/closed/Oracle/src","code")</f>
        <v/>
      </c>
      <c r="T79" s="1" t="n">
        <v>148594</v>
      </c>
      <c r="U79" s="1" t="n">
        <v>144321</v>
      </c>
      <c r="V79" s="1" t="n">
        <v>130625</v>
      </c>
      <c r="W79" s="1" t="n">
        <v>100392</v>
      </c>
      <c r="X79" s="1" t="n">
        <v>101553</v>
      </c>
      <c r="Y79" s="1" t="n">
        <v>70421.7</v>
      </c>
      <c r="AE79" s="1" t="n">
        <v>16.334597792</v>
      </c>
      <c r="AF79" s="1" t="n">
        <v>0.0706215</v>
      </c>
      <c r="AJ79" s="1" t="n">
        <v>109083</v>
      </c>
      <c r="AK79" s="1" t="n">
        <v>115567</v>
      </c>
    </row>
    <row r="80">
      <c r="A80" s="2" t="inlineStr">
        <is>
          <t>6.1-0085</t>
        </is>
      </c>
      <c r="B80" s="2" t="inlineStr">
        <is>
          <t>datacenter/closed/Oracle/B300-SXM-270GBx8_TRT</t>
        </is>
      </c>
      <c r="C80" s="2" t="inlineStr">
        <is>
          <t>availableOracle</t>
        </is>
      </c>
      <c r="D80" s="2" t="n"/>
      <c r="E80" s="2" t="inlineStr">
        <is>
          <t>Oracle</t>
        </is>
      </c>
      <c r="F80" s="2" t="inlineStr">
        <is>
          <t>available</t>
        </is>
      </c>
      <c r="G80" s="2" t="inlineStr">
        <is>
          <t>NVIDIA DGX B300 (8x B300-SXM-270GB, TensorRT)</t>
        </is>
      </c>
      <c r="H80" s="2" t="n">
        <v>1</v>
      </c>
      <c r="I80" s="2" t="inlineStr">
        <is>
          <t>Intel(R) Xeon(R) Platinum 8570</t>
        </is>
      </c>
      <c r="J80" s="2" t="n">
        <v>2</v>
      </c>
      <c r="K80" s="2" t="inlineStr">
        <is>
          <t>NVIDIA B300-SXM-270GB</t>
        </is>
      </c>
      <c r="L80" s="2" t="n">
        <v>8</v>
      </c>
      <c r="M80" s="2" t="n">
        <v>8</v>
      </c>
      <c r="N80" s="2" t="inlineStr">
        <is>
          <t>TensorRT 10.14, CUDA 13.1, cuDNN 9.17, TensorRT-LLM feat/1.2-mlpinf, NVIDIA Dynamo mlperf-v6.0-dynamo-v0.8.0, vLLM CentML:mlperf-inf-mm-q3vl-v6.0</t>
        </is>
      </c>
      <c r="O80" s="2" t="inlineStr">
        <is>
          <t>B300 TGP 1100W</t>
        </is>
      </c>
      <c r="P80" s="2">
        <f>HYPERLINK("https://github.com/mlcommons/submissions_inference_v6.0/tree/main/closed/Oracle/results/B300-SXM-270GBx8_TRT","details")</f>
        <v/>
      </c>
      <c r="Q80" s="2">
        <f>HYPERLINK("https://github.com/mlcommons/submissions_inference_v6.0/tree/main/closed/Oracle/src","code")</f>
        <v/>
      </c>
      <c r="W80" s="1" t="n">
        <v>106696</v>
      </c>
      <c r="X80" s="1" t="n">
        <v>108026</v>
      </c>
      <c r="AA80" s="1" t="n">
        <v>60745.5</v>
      </c>
      <c r="AB80" s="1" t="n">
        <v>70354</v>
      </c>
      <c r="AH80" s="1" t="n">
        <v>124.3859737873004</v>
      </c>
      <c r="AI80" s="1" t="n">
        <v>3.9944621629557</v>
      </c>
      <c r="AJ80" s="1" t="n">
        <v>100608</v>
      </c>
      <c r="AK80" s="1" t="n">
        <v>109931</v>
      </c>
    </row>
    <row r="81">
      <c r="A81" s="2" t="inlineStr">
        <is>
          <t>6.1-0086</t>
        </is>
      </c>
      <c r="B81" s="2" t="inlineStr">
        <is>
          <t>datacenter/closed/Oracle/GB300-NVL72_GB300-288GB_aarch64x4_TRT</t>
        </is>
      </c>
      <c r="C81" s="2" t="inlineStr">
        <is>
          <t>availableOracle</t>
        </is>
      </c>
      <c r="D81" s="2" t="n"/>
      <c r="E81" s="2" t="inlineStr">
        <is>
          <t>Oracle</t>
        </is>
      </c>
      <c r="F81" s="2" t="inlineStr">
        <is>
          <t>available</t>
        </is>
      </c>
      <c r="G81" s="2" t="inlineStr">
        <is>
          <t>NVIDIA GB300 NVL72 (4x GB300-288GB_aarch64, TensorRT)</t>
        </is>
      </c>
      <c r="H81" s="2" t="n">
        <v>1</v>
      </c>
      <c r="I81" s="2" t="inlineStr">
        <is>
          <t>NVIDIA Grace CPU</t>
        </is>
      </c>
      <c r="J81" s="2" t="n">
        <v>2</v>
      </c>
      <c r="K81" s="2" t="inlineStr">
        <is>
          <t>NVIDIA GB300</t>
        </is>
      </c>
      <c r="L81" s="2" t="n">
        <v>4</v>
      </c>
      <c r="M81" s="2" t="n">
        <v>4</v>
      </c>
      <c r="N81" s="2" t="inlineStr">
        <is>
          <t>TensorRT 10.14, CUDA 13.1, cuDNN 9.17, TensorRT-LLM feat/1.2-mlpinf, NVIDIA Dynamo mlperf-v6.0-dynamo-v0.8.0, vLLM CentML:mlperf-inf-mm-q3vl-v6.0</t>
        </is>
      </c>
      <c r="O81" s="2" t="inlineStr">
        <is>
          <t>NVIDIA GB300 NVL72, 1400W TGP Per GPU</t>
        </is>
      </c>
      <c r="P81" s="2">
        <f>HYPERLINK("https://github.com/mlcommons/submissions_inference_v6.0/tree/main/closed/Oracle/results/GB300-NVL72_GB300-288GB_aarch64x4_TRT","details")</f>
        <v/>
      </c>
      <c r="Q81" s="2">
        <f>HYPERLINK("https://github.com/mlcommons/submissions_inference_v6.0/tree/main/closed/Oracle/src","code")</f>
        <v/>
      </c>
      <c r="W81" s="1" t="n">
        <v>58991.9</v>
      </c>
      <c r="X81" s="1" t="n">
        <v>66001.89999999999</v>
      </c>
      <c r="AE81" s="1" t="n">
        <v>30.653359842875</v>
      </c>
      <c r="AF81" s="1" t="n">
        <v>0.0138372212111634</v>
      </c>
      <c r="AG81" s="1" t="n">
        <v>64.60782589940354</v>
      </c>
      <c r="AH81" s="1" t="n">
        <v>72.78618281809769</v>
      </c>
      <c r="AI81" s="1" t="n">
        <v>4.992209807647115</v>
      </c>
      <c r="AJ81" s="1" t="n">
        <v>59996</v>
      </c>
      <c r="AK81" s="1" t="n">
        <v>60745.8</v>
      </c>
    </row>
    <row r="82">
      <c r="A82" s="2" t="inlineStr">
        <is>
          <t>6.1-0087</t>
        </is>
      </c>
      <c r="B82" s="2" t="inlineStr">
        <is>
          <t>datacenter/closed/Oracle/GB300-NVL72_GB300-288GB_aarch64x72_TRT</t>
        </is>
      </c>
      <c r="C82" s="2" t="inlineStr">
        <is>
          <t>availableOracle</t>
        </is>
      </c>
      <c r="D82" s="2" t="n"/>
      <c r="E82" s="2" t="inlineStr">
        <is>
          <t>Oracle</t>
        </is>
      </c>
      <c r="F82" s="2" t="inlineStr">
        <is>
          <t>available</t>
        </is>
      </c>
      <c r="G82" s="2" t="inlineStr">
        <is>
          <t>NVIDIA GB300 NVL72 (72x GB300-288GB_aarch64, TensorRT)</t>
        </is>
      </c>
      <c r="H82" s="2" t="n">
        <v>18</v>
      </c>
      <c r="I82" s="2" t="inlineStr">
        <is>
          <t>NVIDIA Grace CPU</t>
        </is>
      </c>
      <c r="J82" s="2" t="n">
        <v>2</v>
      </c>
      <c r="K82" s="2" t="inlineStr">
        <is>
          <t>NVIDIA GB300</t>
        </is>
      </c>
      <c r="L82" s="2" t="n">
        <v>4</v>
      </c>
      <c r="M82" s="2" t="n">
        <v>72</v>
      </c>
      <c r="N82" s="2" t="inlineStr">
        <is>
          <t>TensorRT 10.14, CUDA 13.1, cuDNN 9.17, TensorRT-LLM feat/1.2-mlpinf, NVIDIA Dynamo mlperf-v6.0-dynamo-v0.8.0, vLLM CentML:mlperf-inf-mm-q3vl-v6.0</t>
        </is>
      </c>
      <c r="O82" s="2" t="inlineStr">
        <is>
          <t>NVIDIA GB300 NVL72, 1400W TGP Per GPU</t>
        </is>
      </c>
      <c r="P82" s="2">
        <f>HYPERLINK("https://github.com/mlcommons/submissions_inference_v6.0/tree/main/closed/Oracle/results/GB300-NVL72_GB300-288GB_aarch64x72_TRT","details")</f>
        <v/>
      </c>
      <c r="Q82" s="2">
        <f>HYPERLINK("https://github.com/mlcommons/submissions_inference_v6.0/tree/main/closed/Oracle/src","code")</f>
        <v/>
      </c>
      <c r="AA82" s="1" t="n">
        <v>586852</v>
      </c>
      <c r="AB82" s="1" t="n">
        <v>666613</v>
      </c>
      <c r="AC82" s="1" t="n">
        <v>235807</v>
      </c>
      <c r="AE82" s="1" t="n">
        <v>5.895425553486111</v>
      </c>
      <c r="AF82" s="1" t="n">
        <v>0.3997628673298144</v>
      </c>
      <c r="AG82" s="1" t="n">
        <v>1146.388942892591</v>
      </c>
      <c r="AH82" s="1" t="n">
        <v>1297.490941230584</v>
      </c>
      <c r="AJ82" s="1" t="n">
        <v>1092610</v>
      </c>
      <c r="AK82" s="1" t="n">
        <v>1097620</v>
      </c>
    </row>
    <row r="83">
      <c r="A83" s="2" t="inlineStr">
        <is>
          <t>6.1-0088</t>
        </is>
      </c>
      <c r="B83" s="2" t="inlineStr">
        <is>
          <t>datacenter/closed/Oracle/GB300-NVL72_GB300-288GB_aarch64x8_TRT</t>
        </is>
      </c>
      <c r="C83" s="2" t="inlineStr">
        <is>
          <t>availableOracle</t>
        </is>
      </c>
      <c r="D83" s="2" t="n"/>
      <c r="E83" s="2" t="inlineStr">
        <is>
          <t>Oracle</t>
        </is>
      </c>
      <c r="F83" s="2" t="inlineStr">
        <is>
          <t>available</t>
        </is>
      </c>
      <c r="G83" s="2" t="inlineStr">
        <is>
          <t>NVIDIA GB300 NVL72 (8x GB300-288GB_aarch64, TensorRT)</t>
        </is>
      </c>
      <c r="H83" s="2" t="n">
        <v>2</v>
      </c>
      <c r="I83" s="2" t="inlineStr">
        <is>
          <t>NVIDIA Grace CPU</t>
        </is>
      </c>
      <c r="J83" s="2" t="n">
        <v>2</v>
      </c>
      <c r="K83" s="2" t="inlineStr">
        <is>
          <t>NVIDIA GB300</t>
        </is>
      </c>
      <c r="L83" s="2" t="n">
        <v>4</v>
      </c>
      <c r="M83" s="2" t="n">
        <v>8</v>
      </c>
      <c r="N83" s="2" t="inlineStr">
        <is>
          <t>TensorRT 10.14, CUDA 13.1, cuDNN 9.17, TensorRT-LLM feat/1.2-mlpinf, NVIDIA Dynamo mlperf-v6.0-dynamo-v0.8.0, vLLM CentML:mlperf-inf-mm-q3vl-v6.0</t>
        </is>
      </c>
      <c r="O83" s="2" t="inlineStr">
        <is>
          <t>NVIDIA GB300 NVL72, 1400W TGP Per GPU</t>
        </is>
      </c>
      <c r="P83" s="2">
        <f>HYPERLINK("https://github.com/mlcommons/submissions_inference_v6.0/tree/main/closed/Oracle/results/GB300-NVL72_GB300-288GB_aarch64x8_TRT","details")</f>
        <v/>
      </c>
      <c r="Q83" s="2">
        <f>HYPERLINK("https://github.com/mlcommons/submissions_inference_v6.0/tree/main/closed/Oracle/src","code")</f>
        <v/>
      </c>
      <c r="W83" s="1" t="n">
        <v>127984</v>
      </c>
      <c r="X83" s="1" t="n">
        <v>132253</v>
      </c>
      <c r="AA83" s="1" t="n">
        <v>68138</v>
      </c>
      <c r="AB83" s="1" t="n">
        <v>77031.7</v>
      </c>
    </row>
    <row r="84">
      <c r="A84" s="2" t="inlineStr">
        <is>
          <t>6.1-0089</t>
        </is>
      </c>
      <c r="B84" s="2" t="inlineStr">
        <is>
          <t>datacenter/closed/Quanta_Cloud_Technology/1-node-2S-GNR_86C</t>
        </is>
      </c>
      <c r="C84" s="2" t="inlineStr">
        <is>
          <t>availableQuanta_Cloud_Technology</t>
        </is>
      </c>
      <c r="D84" s="2" t="n"/>
      <c r="E84" s="2" t="inlineStr">
        <is>
          <t>Quanta_Cloud_Technology</t>
        </is>
      </c>
      <c r="F84" s="2" t="inlineStr">
        <is>
          <t>available</t>
        </is>
      </c>
      <c r="G84" s="2" t="inlineStr">
        <is>
          <t>1-node-2S-GNR_86C</t>
        </is>
      </c>
      <c r="H84" s="2" t="n">
        <v>1</v>
      </c>
      <c r="I84" s="2" t="inlineStr">
        <is>
          <t>Intel(R) Xeon(R) 6788P</t>
        </is>
      </c>
      <c r="J84" s="2" t="n">
        <v>2</v>
      </c>
      <c r="K84" s="2" t="n"/>
      <c r="L84" s="2" t="n"/>
      <c r="M84" s="2" t="n">
        <v>0</v>
      </c>
      <c r="N84" s="2" t="inlineStr">
        <is>
          <t>PyTorch</t>
        </is>
      </c>
      <c r="O84" s="2" t="inlineStr">
        <is>
          <t>QuantaGrid D75E-4U. N/A</t>
        </is>
      </c>
      <c r="P84" s="2">
        <f>HYPERLINK("https://github.com/mlcommons/submissions_inference_v6.0/tree/main/closed/Quanta_Cloud_Technology/results/1-node-2S-GNR_86C","details")</f>
        <v/>
      </c>
      <c r="Q84" s="2">
        <f>HYPERLINK("https://github.com/mlcommons/submissions_inference_v6.0/tree/main/closed/Quanta_Cloud_Technology/src","code")</f>
        <v/>
      </c>
      <c r="T84" s="1" t="n">
        <v>516.0119999999999</v>
      </c>
      <c r="U84" s="1" t="n">
        <v>1170.51</v>
      </c>
      <c r="Z84" s="1" t="n">
        <v>15633.3</v>
      </c>
      <c r="AD84" s="1" t="n">
        <v>1548.1</v>
      </c>
    </row>
    <row r="85">
      <c r="A85" s="2" t="inlineStr">
        <is>
          <t>6.1-0090</t>
        </is>
      </c>
      <c r="B85" s="2" t="inlineStr">
        <is>
          <t>datacenter/closed/Quanta_Cloud_Technology/1-node-4x-BMG-B70</t>
        </is>
      </c>
      <c r="C85" s="2" t="inlineStr">
        <is>
          <t>availableQuanta_Cloud_Technology</t>
        </is>
      </c>
      <c r="D85" s="2" t="n"/>
      <c r="E85" s="2" t="inlineStr">
        <is>
          <t>Quanta_Cloud_Technology</t>
        </is>
      </c>
      <c r="F85" s="2" t="inlineStr">
        <is>
          <t>available</t>
        </is>
      </c>
      <c r="G85" s="2" t="inlineStr">
        <is>
          <t>1-node-4x-BMG-B70</t>
        </is>
      </c>
      <c r="H85" s="2" t="n">
        <v>1</v>
      </c>
      <c r="I85" s="2" t="inlineStr">
        <is>
          <t>Intel(R) Xeon(R) 6788P</t>
        </is>
      </c>
      <c r="J85" s="2" t="n">
        <v>2</v>
      </c>
      <c r="K85" s="2" t="inlineStr">
        <is>
          <t>Intel(R) Arc(TM) Pro B70</t>
        </is>
      </c>
      <c r="L85" s="2" t="n">
        <v>4</v>
      </c>
      <c r="M85" s="2" t="n">
        <v>4</v>
      </c>
      <c r="N85" s="2" t="inlineStr">
        <is>
          <t>PyTorch</t>
        </is>
      </c>
      <c r="O85" s="2" t="inlineStr">
        <is>
          <t>QuantaGrid D75E-4U. N/A</t>
        </is>
      </c>
      <c r="P85" s="2">
        <f>HYPERLINK("https://github.com/mlcommons/submissions_inference_v6.0/tree/main/closed/Quanta_Cloud_Technology/results/1-node-4x-BMG-B70","details")</f>
        <v/>
      </c>
      <c r="Q85" s="2">
        <f>HYPERLINK("https://github.com/mlcommons/submissions_inference_v6.0/tree/main/closed/Quanta_Cloud_Technology/src","code")</f>
        <v/>
      </c>
      <c r="T85" s="1" t="n">
        <v>4122.73</v>
      </c>
      <c r="U85" s="1" t="n">
        <v>4977.67</v>
      </c>
      <c r="AD85" s="1" t="n">
        <v>5401.23</v>
      </c>
    </row>
    <row r="86">
      <c r="A86" s="2" t="inlineStr">
        <is>
          <t>6.1-0091</t>
        </is>
      </c>
      <c r="B86" s="2" t="inlineStr">
        <is>
          <t>datacenter/closed/Quanta_Cloud_Technology/D75H-10U_B300-270GBx8_TRT</t>
        </is>
      </c>
      <c r="C86" s="2" t="inlineStr">
        <is>
          <t>availableQuanta_Cloud_Technology</t>
        </is>
      </c>
      <c r="D86" s="2" t="n"/>
      <c r="E86" s="2" t="inlineStr">
        <is>
          <t>Quanta_Cloud_Technology</t>
        </is>
      </c>
      <c r="F86" s="2" t="inlineStr">
        <is>
          <t>available</t>
        </is>
      </c>
      <c r="G86" s="2" t="inlineStr">
        <is>
          <t>QuantaGrid D75H-10U (8x B300-SXM-270GB, TensorRT)</t>
        </is>
      </c>
      <c r="H86" s="2" t="n">
        <v>1</v>
      </c>
      <c r="I86" s="2" t="inlineStr">
        <is>
          <t>Intel(R) Xeon(R) 6776P</t>
        </is>
      </c>
      <c r="J86" s="2" t="n">
        <v>2</v>
      </c>
      <c r="K86" s="2" t="inlineStr">
        <is>
          <t>NVIDIA B300-SXM-270GB</t>
        </is>
      </c>
      <c r="L86" s="2" t="n">
        <v>8</v>
      </c>
      <c r="M86" s="2" t="n">
        <v>8</v>
      </c>
      <c r="N86" s="2" t="inlineStr">
        <is>
          <t>TensorRT 10.14, CUDA 13.1, cuDNN 9.17, TensorRT-LLM feat/1.2-mlpinf, NVIDIA Dynamo mlperf-v6.0-dynamo-v0.8.0, vLLM CentML:mlperf-inf-mm-q3vl-v6.0</t>
        </is>
      </c>
      <c r="O86" s="2" t="inlineStr">
        <is>
          <t>QuantaGrid D75H-10U</t>
        </is>
      </c>
      <c r="P86" s="2">
        <f>HYPERLINK("https://github.com/mlcommons/submissions_inference_v6.0/tree/main/closed/Quanta_Cloud_Technology/results/D75H-10U_B300-270GBx8_TRT","details")</f>
        <v/>
      </c>
      <c r="Q86" s="2">
        <f>HYPERLINK("https://github.com/mlcommons/submissions_inference_v6.0/tree/main/closed/Quanta_Cloud_Technology/src","code")</f>
        <v/>
      </c>
      <c r="W86" s="1" t="n">
        <v>106285</v>
      </c>
      <c r="X86" s="1" t="n">
        <v>113985</v>
      </c>
      <c r="AA86" s="1" t="n">
        <v>59622.2</v>
      </c>
      <c r="AB86" s="1" t="n">
        <v>69841.60000000001</v>
      </c>
      <c r="AD86" s="1" t="n">
        <v>45408.2</v>
      </c>
      <c r="AG86" s="1" t="n">
        <v>104.8118239643209</v>
      </c>
      <c r="AH86" s="1" t="n">
        <v>131.7949949301423</v>
      </c>
      <c r="AJ86" s="1" t="n">
        <v>100183</v>
      </c>
      <c r="AK86" s="1" t="n">
        <v>108293</v>
      </c>
    </row>
    <row r="87">
      <c r="A87" s="2" t="inlineStr">
        <is>
          <t>6.1-0092</t>
        </is>
      </c>
      <c r="B87" s="2" t="inlineStr">
        <is>
          <t>datacenter/closed/RedHat_Intel/1-node-2S-GNR_96C</t>
        </is>
      </c>
      <c r="C87" s="2" t="inlineStr">
        <is>
          <t>availableRedHat_Intel</t>
        </is>
      </c>
      <c r="D87" s="2" t="n"/>
      <c r="E87" s="2" t="inlineStr">
        <is>
          <t>RedHat_Intel</t>
        </is>
      </c>
      <c r="F87" s="2" t="inlineStr">
        <is>
          <t>available</t>
        </is>
      </c>
      <c r="G87" s="2" t="inlineStr">
        <is>
          <t>1-node-2S-GNR_96C</t>
        </is>
      </c>
      <c r="H87" s="2" t="n">
        <v>1</v>
      </c>
      <c r="I87" s="2" t="inlineStr">
        <is>
          <t>Intel(R) Xeon(R) 6972P</t>
        </is>
      </c>
      <c r="J87" s="2" t="n">
        <v>2</v>
      </c>
      <c r="K87" s="2" t="n"/>
      <c r="L87" s="2" t="n"/>
      <c r="M87" s="2" t="n">
        <v>0</v>
      </c>
      <c r="N87" s="2" t="inlineStr">
        <is>
          <t>PyTorch</t>
        </is>
      </c>
      <c r="O87" s="2" t="n"/>
      <c r="P87" s="2">
        <f>HYPERLINK("https://github.com/mlcommons/submissions_inference_v6.0/tree/main/closed/RedHat_Intel/results/1-node-2S-GNR_96C","details")</f>
        <v/>
      </c>
      <c r="Q87" s="2">
        <f>HYPERLINK("https://github.com/mlcommons/submissions_inference_v6.0/tree/main/closed/RedHat_Intel/src","code")</f>
        <v/>
      </c>
      <c r="T87" s="1" t="n">
        <v>644.788</v>
      </c>
      <c r="U87" s="1" t="n">
        <v>1507.21</v>
      </c>
      <c r="AD87" s="1" t="n">
        <v>1966.11</v>
      </c>
    </row>
    <row r="88">
      <c r="A88" s="2" t="inlineStr">
        <is>
          <t>6.1-0093</t>
        </is>
      </c>
      <c r="B88" s="2" t="inlineStr">
        <is>
          <t>datacenter/closed/RedHat_Supermicro/GB200-NVL4-192GB_aarch64x4_VLLM</t>
        </is>
      </c>
      <c r="C88" s="2" t="inlineStr">
        <is>
          <t>availableRedHat_Supermicro</t>
        </is>
      </c>
      <c r="D88" s="2" t="n"/>
      <c r="E88" s="2" t="inlineStr">
        <is>
          <t>RedHat_Supermicro</t>
        </is>
      </c>
      <c r="F88" s="2" t="inlineStr">
        <is>
          <t>available</t>
        </is>
      </c>
      <c r="G88" s="2" t="inlineStr">
        <is>
          <t>NVIDIA GB200 NVL4 (4x GB200-192GB_aarch64, vLLM)</t>
        </is>
      </c>
      <c r="H88" s="2" t="n">
        <v>1</v>
      </c>
      <c r="I88" s="2" t="inlineStr">
        <is>
          <t>NVIDIA Grace CPU</t>
        </is>
      </c>
      <c r="J88" s="2" t="n">
        <v>2</v>
      </c>
      <c r="K88" s="2" t="inlineStr">
        <is>
          <t>NVIDIA GB200</t>
        </is>
      </c>
      <c r="L88" s="2" t="n">
        <v>4</v>
      </c>
      <c r="M88" s="2" t="n">
        <v>4</v>
      </c>
      <c r="N88" s="2" t="inlineStr">
        <is>
          <t>vLLM v0.20.2rc1.dev2091, CUDA 13.0.1, NVIDIA Dynamo, PyTorch 2.11.0+cu130</t>
        </is>
      </c>
      <c r="O88" s="2" t="inlineStr">
        <is>
          <t>NVIDIA GB200 NVL4, 1200W TGP Per GPU, Supermicro chassis</t>
        </is>
      </c>
      <c r="P88" s="2">
        <f>HYPERLINK("https://github.com/mlcommons/submissions_inference_v6.0/tree/main/closed/RedHat_Supermicro/results/GB200-NVL4-192GB_aarch64x4_VLLM","details")</f>
        <v/>
      </c>
      <c r="Q88" s="2">
        <f>HYPERLINK("https://github.com/mlcommons/submissions_inference_v6.0/tree/main/closed/RedHat_Supermicro/src","code")</f>
        <v/>
      </c>
      <c r="AG88" s="1" t="n">
        <v>50.68378958948414</v>
      </c>
      <c r="AH88" s="1" t="n">
        <v>58.07798401246531</v>
      </c>
    </row>
    <row r="89">
      <c r="A89" s="2" t="inlineStr">
        <is>
          <t>6.1-0094</t>
        </is>
      </c>
      <c r="B89" s="2" t="inlineStr">
        <is>
          <t>datacenter/closed/RedHat_Supermicro/GB200-NVL4_186GB_Openshift_VLLM</t>
        </is>
      </c>
      <c r="C89" s="2" t="inlineStr">
        <is>
          <t>availableRedHat_Supermicro</t>
        </is>
      </c>
      <c r="D89" s="2" t="n"/>
      <c r="E89" s="2" t="inlineStr">
        <is>
          <t>RedHat_Supermicro</t>
        </is>
      </c>
      <c r="F89" s="2" t="inlineStr">
        <is>
          <t>available</t>
        </is>
      </c>
      <c r="G89" s="2" t="inlineStr">
        <is>
          <t>SMC Lab OpenShift GB200-NVL4 4xGB200-186GB</t>
        </is>
      </c>
      <c r="H89" s="2" t="n">
        <v>1</v>
      </c>
      <c r="I89" s="2" t="inlineStr">
        <is>
          <t>NVIDIA Grace CPU</t>
        </is>
      </c>
      <c r="J89" s="2" t="n">
        <v>2</v>
      </c>
      <c r="K89" s="2" t="inlineStr">
        <is>
          <t>NVIDIA GB200</t>
        </is>
      </c>
      <c r="L89" s="2" t="n">
        <v>4</v>
      </c>
      <c r="M89" s="2" t="n">
        <v>4</v>
      </c>
      <c r="N89" s="2" t="inlineStr">
        <is>
          <t>vLLM 0.24.0, Red Hat OpenShift 4.21</t>
        </is>
      </c>
      <c r="O89" s="2" t="inlineStr">
        <is>
          <t>NVIDIA GB200 NVL4 with 2x Grace CPUs (72 ARM cores each), 4x GB200 GPUs (189GB HBM3e each). SMC Lab, Red Hat OpenShift 4.21, RHEL CoreOS 9.6, vLLM 0.24.0</t>
        </is>
      </c>
      <c r="P89" s="2">
        <f>HYPERLINK("https://github.com/mlcommons/submissions_inference_v6.0/tree/main/closed/RedHat_Supermicro/results/GB200-NVL4_186GB_Openshift_VLLM","details")</f>
        <v/>
      </c>
      <c r="Q89" s="2">
        <f>HYPERLINK("https://github.com/mlcommons/submissions_inference_v6.0/tree/main/closed/RedHat_Supermicro/src","code")</f>
        <v/>
      </c>
      <c r="AJ89" s="1" t="n">
        <v>51095.2</v>
      </c>
      <c r="AK89" s="1" t="n">
        <v>61205.6</v>
      </c>
    </row>
    <row r="90">
      <c r="A90" s="2" t="inlineStr">
        <is>
          <t>6.1-0095</t>
        </is>
      </c>
      <c r="B90" s="2" t="inlineStr">
        <is>
          <t>datacenter/closed/Supermicro/1-node-2S-GNR_128C</t>
        </is>
      </c>
      <c r="C90" s="2" t="inlineStr">
        <is>
          <t>availableSupermicro</t>
        </is>
      </c>
      <c r="D90" s="2" t="n"/>
      <c r="E90" s="2" t="inlineStr">
        <is>
          <t>Supermicro</t>
        </is>
      </c>
      <c r="F90" s="2" t="inlineStr">
        <is>
          <t>available</t>
        </is>
      </c>
      <c r="G90" s="2" t="inlineStr">
        <is>
          <t>1-node-2S-GNR_128C</t>
        </is>
      </c>
      <c r="H90" s="2" t="n">
        <v>1</v>
      </c>
      <c r="I90" s="2" t="inlineStr">
        <is>
          <t>Intel(R) Xeon(R) 6980P</t>
        </is>
      </c>
      <c r="J90" s="2" t="n">
        <v>2</v>
      </c>
      <c r="K90" s="2" t="n"/>
      <c r="L90" s="2" t="n"/>
      <c r="M90" s="2" t="n">
        <v>0</v>
      </c>
      <c r="N90" s="2" t="inlineStr">
        <is>
          <t>PyTorch</t>
        </is>
      </c>
      <c r="O90" s="2" t="inlineStr">
        <is>
          <t>SYS-422GA-NRT. N/A</t>
        </is>
      </c>
      <c r="P90" s="2">
        <f>HYPERLINK("https://github.com/mlcommons/submissions_inference_v6.0/tree/main/closed/Supermicro/results/1-node-2S-GNR_128C","details")</f>
        <v/>
      </c>
      <c r="Q90" s="2">
        <f>HYPERLINK("https://github.com/mlcommons/submissions_inference_v6.0/tree/main/closed/Supermicro/src","code")</f>
        <v/>
      </c>
      <c r="T90" s="1" t="n">
        <v>1101.19</v>
      </c>
      <c r="U90" s="1" t="n">
        <v>1833.97</v>
      </c>
      <c r="AD90" s="1" t="n">
        <v>2248.15</v>
      </c>
    </row>
    <row r="91">
      <c r="A91" s="2" t="inlineStr">
        <is>
          <t>6.1-0096</t>
        </is>
      </c>
      <c r="B91" s="2" t="inlineStr">
        <is>
          <t>datacenter/closed/Supermicro/1-node-2S-GNR_86C</t>
        </is>
      </c>
      <c r="C91" s="2" t="inlineStr">
        <is>
          <t>availableSupermicro</t>
        </is>
      </c>
      <c r="D91" s="2" t="n"/>
      <c r="E91" s="2" t="inlineStr">
        <is>
          <t>Supermicro</t>
        </is>
      </c>
      <c r="F91" s="2" t="inlineStr">
        <is>
          <t>available</t>
        </is>
      </c>
      <c r="G91" s="2" t="inlineStr">
        <is>
          <t>1-node-2S-GNR_86C</t>
        </is>
      </c>
      <c r="H91" s="2" t="n">
        <v>1</v>
      </c>
      <c r="I91" s="2" t="inlineStr">
        <is>
          <t>Intel(R) Xeon(R) 6787P</t>
        </is>
      </c>
      <c r="J91" s="2" t="n">
        <v>2</v>
      </c>
      <c r="K91" s="2" t="n"/>
      <c r="L91" s="2" t="n"/>
      <c r="M91" s="2" t="n">
        <v>0</v>
      </c>
      <c r="N91" s="2" t="inlineStr">
        <is>
          <t>PyTorch</t>
        </is>
      </c>
      <c r="O91" s="2" t="inlineStr">
        <is>
          <t>SYS-422GB-NRT. N/A</t>
        </is>
      </c>
      <c r="P91" s="2">
        <f>HYPERLINK("https://github.com/mlcommons/submissions_inference_v6.0/tree/main/closed/Supermicro/results/1-node-2S-GNR_86C","details")</f>
        <v/>
      </c>
      <c r="Q91" s="2">
        <f>HYPERLINK("https://github.com/mlcommons/submissions_inference_v6.0/tree/main/closed/Supermicro/src","code")</f>
        <v/>
      </c>
      <c r="T91" s="1" t="n">
        <v>516.059</v>
      </c>
      <c r="U91" s="1" t="n">
        <v>1189.89</v>
      </c>
      <c r="Z91" s="1" t="n">
        <v>13273.7</v>
      </c>
      <c r="AD91" s="1" t="n">
        <v>1477.4</v>
      </c>
    </row>
    <row r="92">
      <c r="A92" s="2" t="inlineStr">
        <is>
          <t>6.1-0097</t>
        </is>
      </c>
      <c r="B92" s="2" t="inlineStr">
        <is>
          <t>datacenter/closed/Supermicro/1-node-4S-GNR_86C</t>
        </is>
      </c>
      <c r="C92" s="2" t="inlineStr">
        <is>
          <t>availableSupermicro</t>
        </is>
      </c>
      <c r="D92" s="2" t="n"/>
      <c r="E92" s="2" t="inlineStr">
        <is>
          <t>Supermicro</t>
        </is>
      </c>
      <c r="F92" s="2" t="inlineStr">
        <is>
          <t>available</t>
        </is>
      </c>
      <c r="G92" s="2" t="inlineStr">
        <is>
          <t>1-node-4S-GNR_86C</t>
        </is>
      </c>
      <c r="H92" s="2" t="n">
        <v>1</v>
      </c>
      <c r="I92" s="2" t="inlineStr">
        <is>
          <t>Intel(R) Xeon(R) 6788P</t>
        </is>
      </c>
      <c r="J92" s="2" t="n">
        <v>4</v>
      </c>
      <c r="K92" s="2" t="n"/>
      <c r="L92" s="2" t="n"/>
      <c r="M92" s="2" t="n">
        <v>0</v>
      </c>
      <c r="N92" s="2" t="inlineStr">
        <is>
          <t>PyTorch</t>
        </is>
      </c>
      <c r="O92" s="2" t="inlineStr">
        <is>
          <t>SYS-442B-NR. N/A</t>
        </is>
      </c>
      <c r="P92" s="2">
        <f>HYPERLINK("https://github.com/mlcommons/submissions_inference_v6.0/tree/main/closed/Supermicro/results/1-node-4S-GNR_86C","details")</f>
        <v/>
      </c>
      <c r="Q92" s="2">
        <f>HYPERLINK("https://github.com/mlcommons/submissions_inference_v6.0/tree/main/closed/Supermicro/src","code")</f>
        <v/>
      </c>
      <c r="T92" s="1" t="n">
        <v>966.241</v>
      </c>
      <c r="U92" s="1" t="n">
        <v>2063.24</v>
      </c>
      <c r="AD92" s="1" t="n">
        <v>2881.28</v>
      </c>
    </row>
    <row r="93">
      <c r="A93" s="2" t="inlineStr">
        <is>
          <t>6.1-0098</t>
        </is>
      </c>
      <c r="B93" s="2" t="inlineStr">
        <is>
          <t>datacenter/closed/Supermicro/1-node-4x-BMG-B70</t>
        </is>
      </c>
      <c r="C93" s="2" t="inlineStr">
        <is>
          <t>availableSupermicro</t>
        </is>
      </c>
      <c r="D93" s="2" t="n"/>
      <c r="E93" s="2" t="inlineStr">
        <is>
          <t>Supermicro</t>
        </is>
      </c>
      <c r="F93" s="2" t="inlineStr">
        <is>
          <t>available</t>
        </is>
      </c>
      <c r="G93" s="2" t="inlineStr">
        <is>
          <t>1-node-4x-BMG-B70</t>
        </is>
      </c>
      <c r="H93" s="2" t="n">
        <v>1</v>
      </c>
      <c r="I93" s="2" t="inlineStr">
        <is>
          <t>Intel(R) Xeon(R) 6731P</t>
        </is>
      </c>
      <c r="J93" s="2" t="n">
        <v>1</v>
      </c>
      <c r="K93" s="2" t="inlineStr">
        <is>
          <t>Intel(R) Arc(TM) Pro B70</t>
        </is>
      </c>
      <c r="L93" s="2" t="n">
        <v>4</v>
      </c>
      <c r="M93" s="2" t="n">
        <v>4</v>
      </c>
      <c r="N93" s="2" t="inlineStr">
        <is>
          <t>PyTorch</t>
        </is>
      </c>
      <c r="O93" s="2" t="n"/>
      <c r="P93" s="2">
        <f>HYPERLINK("https://github.com/mlcommons/submissions_inference_v6.0/tree/main/closed/Supermicro/results/1-node-4x-BMG-B70","details")</f>
        <v/>
      </c>
      <c r="Q93" s="2">
        <f>HYPERLINK("https://github.com/mlcommons/submissions_inference_v6.0/tree/main/closed/Supermicro/src","code")</f>
        <v/>
      </c>
      <c r="T93" s="1" t="n">
        <v>4208.73</v>
      </c>
      <c r="U93" s="1" t="n">
        <v>4596.62</v>
      </c>
      <c r="W93" s="1" t="n">
        <v>1759.95</v>
      </c>
      <c r="X93" s="1" t="n">
        <v>2484.14</v>
      </c>
      <c r="AD93" s="1" t="n">
        <v>5854.85</v>
      </c>
      <c r="AJ93" s="1" t="n">
        <v>1351.13</v>
      </c>
      <c r="AK93" s="1" t="n">
        <v>2063.93</v>
      </c>
    </row>
    <row r="94">
      <c r="A94" s="2" t="inlineStr">
        <is>
          <t>6.1-0099</t>
        </is>
      </c>
      <c r="B94" s="2" t="inlineStr">
        <is>
          <t>datacenter/closed/Supermicro/8xMI355X_2xEPYC-9575F</t>
        </is>
      </c>
      <c r="C94" s="2" t="inlineStr">
        <is>
          <t>availableSupermicro</t>
        </is>
      </c>
      <c r="D94" s="2" t="n"/>
      <c r="E94" s="2" t="inlineStr">
        <is>
          <t>Supermicro</t>
        </is>
      </c>
      <c r="F94" s="2" t="inlineStr">
        <is>
          <t>available</t>
        </is>
      </c>
      <c r="G94" s="2" t="inlineStr">
        <is>
          <t>AS-4126GS-NMR-LCC</t>
        </is>
      </c>
      <c r="H94" s="2" t="n">
        <v>1</v>
      </c>
      <c r="I94" s="2" t="inlineStr">
        <is>
          <t>AMD EPYC 9575F</t>
        </is>
      </c>
      <c r="J94" s="2" t="n">
        <v>2</v>
      </c>
      <c r="K94" s="2" t="inlineStr">
        <is>
          <t>AMD Instinct MI355X 288GB HBM3e</t>
        </is>
      </c>
      <c r="L94" s="2" t="n">
        <v>8</v>
      </c>
      <c r="M94" s="2" t="n">
        <v>8</v>
      </c>
      <c r="N94" s="2" t="inlineStr">
        <is>
          <t>vLLM 0.22.0, PyTorch 2.10.0, ROCm 7.2.4</t>
        </is>
      </c>
      <c r="O94" s="2" t="n"/>
      <c r="P94" s="2">
        <f>HYPERLINK("https://github.com/mlcommons/submissions_inference_v6.0/tree/main/closed/Supermicro/results/8xMI355X_2xEPYC-9575F","details")</f>
        <v/>
      </c>
      <c r="Q94" s="2">
        <f>HYPERLINK("https://github.com/mlcommons/submissions_inference_v6.0/tree/main/closed/Supermicro/src","code")</f>
        <v/>
      </c>
      <c r="T94" s="1" t="n">
        <v>148710</v>
      </c>
      <c r="U94" s="1" t="n">
        <v>159060</v>
      </c>
      <c r="W94" s="1" t="n">
        <v>103032</v>
      </c>
      <c r="X94" s="1" t="n">
        <v>102243</v>
      </c>
      <c r="Y94" s="1" t="n">
        <v>73181.5</v>
      </c>
      <c r="AJ94" s="1" t="n">
        <v>109184</v>
      </c>
      <c r="AK94" s="1" t="n">
        <v>117005</v>
      </c>
    </row>
    <row r="95">
      <c r="A95" s="2" t="inlineStr">
        <is>
          <t>6.1-0100</t>
        </is>
      </c>
      <c r="B95" s="2" t="inlineStr">
        <is>
          <t>datacenter/closed/Supermicro/AS-8126GS-NB3RT_B300-SXM-288GB_TRT</t>
        </is>
      </c>
      <c r="C95" s="2" t="inlineStr">
        <is>
          <t>availableSupermicro</t>
        </is>
      </c>
      <c r="D95" s="2" t="n"/>
      <c r="E95" s="2" t="inlineStr">
        <is>
          <t>Supermicro</t>
        </is>
      </c>
      <c r="F95" s="2" t="inlineStr">
        <is>
          <t>available</t>
        </is>
      </c>
      <c r="G95" s="2" t="inlineStr">
        <is>
          <t>AS-8126GS-NB3RT</t>
        </is>
      </c>
      <c r="H95" s="2" t="n">
        <v>1</v>
      </c>
      <c r="I95" s="2" t="inlineStr">
        <is>
          <t>AMD EPYC 9575F</t>
        </is>
      </c>
      <c r="J95" s="2" t="n">
        <v>2</v>
      </c>
      <c r="K95" s="2" t="inlineStr">
        <is>
          <t>NVIDIA B300-SXM-270GB</t>
        </is>
      </c>
      <c r="L95" s="2" t="n">
        <v>8</v>
      </c>
      <c r="M95" s="2" t="n">
        <v>8</v>
      </c>
      <c r="N95" s="2" t="inlineStr">
        <is>
          <t>TensorRT 10.14, CUDA 13.1, cuDNN 9.17, TensorRT-LLM feat/1.2-mlpinf, NVIDIA Dynamo mlperf-v6.0-dynamo-v0.8.0, vLLM CentML:mlperf-inf-mm-q3vl-v6.0</t>
        </is>
      </c>
      <c r="O95" s="2" t="inlineStr">
        <is>
          <t>B300 TGP 1100W</t>
        </is>
      </c>
      <c r="P95" s="2">
        <f>HYPERLINK("https://github.com/mlcommons/submissions_inference_v6.0/tree/main/closed/Supermicro/results/AS-8126GS-NB3RT_B300-SXM-288GB_TRT","details")</f>
        <v/>
      </c>
      <c r="Q95" s="2">
        <f>HYPERLINK("https://github.com/mlcommons/submissions_inference_v6.0/tree/main/closed/Supermicro/src","code")</f>
        <v/>
      </c>
      <c r="W95" s="1" t="n">
        <v>106872</v>
      </c>
      <c r="X95" s="1" t="n">
        <v>110802</v>
      </c>
      <c r="AA95" s="1" t="n">
        <v>61164.9</v>
      </c>
      <c r="AB95" s="1" t="n">
        <v>69830</v>
      </c>
      <c r="AJ95" s="1" t="n">
        <v>107288</v>
      </c>
      <c r="AK95" s="1" t="n">
        <v>108727</v>
      </c>
    </row>
    <row r="96">
      <c r="A96" s="2" t="inlineStr">
        <is>
          <t>6.1-0101</t>
        </is>
      </c>
      <c r="B96" s="2" t="inlineStr">
        <is>
          <t>datacenter/closed/Supermicro/SYS-822GS-NB3RT</t>
        </is>
      </c>
      <c r="C96" s="2" t="inlineStr">
        <is>
          <t>availableSupermicro</t>
        </is>
      </c>
      <c r="D96" s="2" t="n"/>
      <c r="E96" s="2" t="inlineStr">
        <is>
          <t>Supermicro</t>
        </is>
      </c>
      <c r="F96" s="2" t="inlineStr">
        <is>
          <t>available</t>
        </is>
      </c>
      <c r="G96" s="2" t="inlineStr">
        <is>
          <t>SYS-822GS-NB3RT</t>
        </is>
      </c>
      <c r="H96" s="2" t="n">
        <v>1</v>
      </c>
      <c r="I96" s="2" t="inlineStr">
        <is>
          <t>Intel(R) Xeon(R) 6767P</t>
        </is>
      </c>
      <c r="J96" s="2" t="n">
        <v>2</v>
      </c>
      <c r="K96" s="2" t="inlineStr">
        <is>
          <t>NVIDIA B300-SXM-270GB</t>
        </is>
      </c>
      <c r="L96" s="2" t="n">
        <v>8</v>
      </c>
      <c r="M96" s="2" t="n">
        <v>8</v>
      </c>
      <c r="N96" s="2" t="inlineStr">
        <is>
          <t>TensorRT 10.14, CUDA 13.1, cuDNN 9.17, TensorRT-LLM feat/1.2-mlpinf, NVIDIA Dynamo mlperf-v6.0-dynamo-v0.8.0, vLLM CentML:mlperf-inf-mm-q3vl-v6.0</t>
        </is>
      </c>
      <c r="O96" s="2" t="inlineStr">
        <is>
          <t>B300 TGP 1100W</t>
        </is>
      </c>
      <c r="P96" s="2">
        <f>HYPERLINK("https://github.com/mlcommons/submissions_inference_v6.0/tree/main/closed/Supermicro/results/SYS-822GS-NB3RT","details")</f>
        <v/>
      </c>
      <c r="Q96" s="2">
        <f>HYPERLINK("https://github.com/mlcommons/submissions_inference_v6.0/tree/main/closed/Supermicro/src","code")</f>
        <v/>
      </c>
      <c r="W96" s="1" t="n">
        <v>109848</v>
      </c>
      <c r="X96" s="1" t="n">
        <v>111247</v>
      </c>
      <c r="AA96" s="1" t="n">
        <v>66754.3</v>
      </c>
      <c r="AB96" s="1" t="n">
        <v>69104</v>
      </c>
      <c r="AG96" s="1" t="n">
        <v>111.7738365067543</v>
      </c>
      <c r="AH96" s="1" t="n">
        <v>128.9061241200454</v>
      </c>
      <c r="AJ96" s="1" t="n">
        <v>107205</v>
      </c>
      <c r="AK96" s="1" t="n">
        <v>107851</v>
      </c>
    </row>
    <row r="97">
      <c r="A97" s="2" t="inlineStr">
        <is>
          <t>6.1-0102</t>
        </is>
      </c>
      <c r="B97" s="2" t="inlineStr">
        <is>
          <t>datacenter/closed/TTA/DeepGadget_dg5W_RTXPro6000_96GBx4_TRT</t>
        </is>
      </c>
      <c r="C97" s="2" t="inlineStr">
        <is>
          <t>availableTTA</t>
        </is>
      </c>
      <c r="D97" s="2" t="n"/>
      <c r="E97" s="2" t="inlineStr">
        <is>
          <t>TTA</t>
        </is>
      </c>
      <c r="F97" s="2" t="inlineStr">
        <is>
          <t>available</t>
        </is>
      </c>
      <c r="G97" s="2" t="inlineStr">
        <is>
          <t>ManyCoreSoft DeepGadget dg5W (4x NVIDIA RTX PRO 6000 Blackwell 96GB, TensorRT)</t>
        </is>
      </c>
      <c r="H97" s="2" t="n">
        <v>1</v>
      </c>
      <c r="I97" s="2" t="inlineStr">
        <is>
          <t>AMD EPYC 9124</t>
        </is>
      </c>
      <c r="J97" s="2" t="n">
        <v>1</v>
      </c>
      <c r="K97" s="2" t="inlineStr">
        <is>
          <t>NVIDIA RTX PRO 6000 Blackwell Server Edition</t>
        </is>
      </c>
      <c r="L97" s="2" t="n">
        <v>4</v>
      </c>
      <c r="M97" s="2" t="n">
        <v>4</v>
      </c>
      <c r="N97" s="2" t="inlineStr">
        <is>
          <t>TensorRT 10.14.1.48, CUDA 13.1</t>
        </is>
      </c>
      <c r="O97" s="2" t="inlineStr">
        <is>
          <t>DeepGadget dg5W; ManyCoreSoft dg5W (SKU2-T1) chassis, GENOAD8X-2T/BCM mainboard; 4x NVIDIA RTX PRO 6000 Blackwell Server Edition (TGP 600W each); direct liquid cooling (DLC)</t>
        </is>
      </c>
      <c r="P97" s="2">
        <f>HYPERLINK("https://github.com/mlcommons/submissions_inference_v6.0/tree/main/closed/TTA/results/DeepGadget_dg5W_RTXPro6000_96GBx4_TRT","details")</f>
        <v/>
      </c>
      <c r="Q97" s="2">
        <f>HYPERLINK("https://github.com/mlcommons/submissions_inference_v6.0/tree/main/closed/TTA/src","code")</f>
        <v/>
      </c>
      <c r="T97" s="1" t="n">
        <v>24510.5</v>
      </c>
      <c r="U97" s="1" t="n">
        <v>24511.8</v>
      </c>
    </row>
    <row r="98">
      <c r="A98" s="2" t="inlineStr">
        <is>
          <t>6.1-0103</t>
        </is>
      </c>
      <c r="B98" s="2" t="inlineStr">
        <is>
          <t>datacenter/closed/VibeHPC/B300-SXM-270GBx1_TRT</t>
        </is>
      </c>
      <c r="C98" s="2" t="inlineStr">
        <is>
          <t>availableVibeHPC</t>
        </is>
      </c>
      <c r="D98" s="2" t="n"/>
      <c r="E98" s="2" t="inlineStr">
        <is>
          <t>VibeHPC</t>
        </is>
      </c>
      <c r="F98" s="2" t="inlineStr">
        <is>
          <t>available</t>
        </is>
      </c>
      <c r="G98" s="2" t="inlineStr">
        <is>
          <t>B300-SXM-270GBx1_TRT</t>
        </is>
      </c>
      <c r="H98" s="2" t="n">
        <v>1</v>
      </c>
      <c r="I98" s="2" t="inlineStr">
        <is>
          <t>Intel(R) Xeon(R) Platinum 8570</t>
        </is>
      </c>
      <c r="J98" s="2" t="n">
        <v>2</v>
      </c>
      <c r="K98" s="2" t="inlineStr">
        <is>
          <t>NVIDIA B300-SXM-270GB</t>
        </is>
      </c>
      <c r="L98" s="2" t="n">
        <v>1</v>
      </c>
      <c r="M98" s="2" t="n">
        <v>1</v>
      </c>
      <c r="N98" s="2" t="inlineStr">
        <is>
          <t>TensorRT 10.14, CUDA 13.1, cuDNN 9.17, TensorRT-LLM feat/1.2-mlpinf, NVIDIA Dynamo mlperf-v6.0-dynamo-v0.8.0, vLLM CentML:mlperf-inf-mm-q3vl-v6.0</t>
        </is>
      </c>
      <c r="O98" s="2" t="inlineStr">
        <is>
          <t>B300 TGP 1100W</t>
        </is>
      </c>
      <c r="P98" s="2">
        <f>HYPERLINK("https://github.com/mlcommons/submissions_inference_v6.0/tree/main/closed/VibeHPC/results/B300-SXM-270GBx1_TRT","details")</f>
        <v/>
      </c>
      <c r="Q98" s="2">
        <f>HYPERLINK("https://github.com/mlcommons/submissions_inference_v6.0/tree/main/closed/VibeHPC/src","code")</f>
        <v/>
      </c>
      <c r="T98" s="1" t="n">
        <v>20420.4</v>
      </c>
      <c r="U98" s="1" t="n">
        <v>21266.1</v>
      </c>
      <c r="W98" s="1" t="n">
        <v>14495.6</v>
      </c>
      <c r="X98" s="1" t="n">
        <v>14636.8</v>
      </c>
      <c r="AD98" s="1" t="n">
        <v>7058.95</v>
      </c>
      <c r="AJ98" s="1" t="n">
        <v>13854</v>
      </c>
      <c r="AK98" s="1" t="n">
        <v>14130.6</v>
      </c>
    </row>
    <row r="99">
      <c r="A99" s="2" t="inlineStr">
        <is>
          <t>6.1-0104</t>
        </is>
      </c>
      <c r="B99" s="2" t="inlineStr">
        <is>
          <t>datacenter/closed/VibeHPC/B300-SXM-270GBx8_TRT</t>
        </is>
      </c>
      <c r="C99" s="2" t="inlineStr">
        <is>
          <t>availableVibeHPC</t>
        </is>
      </c>
      <c r="D99" s="2" t="n"/>
      <c r="E99" s="2" t="inlineStr">
        <is>
          <t>VibeHPC</t>
        </is>
      </c>
      <c r="F99" s="2" t="inlineStr">
        <is>
          <t>available</t>
        </is>
      </c>
      <c r="G99" s="2" t="inlineStr">
        <is>
          <t>NVIDIA DGX B300 (8x B300-SXM-270GB, TensorRT)</t>
        </is>
      </c>
      <c r="H99" s="2" t="n">
        <v>1</v>
      </c>
      <c r="I99" s="2" t="inlineStr">
        <is>
          <t>Intel(R) Xeon(R) 6776P</t>
        </is>
      </c>
      <c r="J99" s="2" t="n">
        <v>2</v>
      </c>
      <c r="K99" s="2" t="inlineStr">
        <is>
          <t>NVIDIA B300-SXM-270GB</t>
        </is>
      </c>
      <c r="L99" s="2" t="n">
        <v>8</v>
      </c>
      <c r="M99" s="2" t="n">
        <v>8</v>
      </c>
      <c r="N99" s="2" t="inlineStr">
        <is>
          <t>TensorRT 10.14, CUDA 13.1</t>
        </is>
      </c>
      <c r="O99" s="2" t="inlineStr">
        <is>
          <t>B300 TGP 1100W</t>
        </is>
      </c>
      <c r="P99" s="2">
        <f>HYPERLINK("https://github.com/mlcommons/submissions_inference_v6.0/tree/main/closed/VibeHPC/results/B300-SXM-270GBx8_TRT","details")</f>
        <v/>
      </c>
      <c r="Q99" s="2">
        <f>HYPERLINK("https://github.com/mlcommons/submissions_inference_v6.0/tree/main/closed/VibeHPC/src","code")</f>
        <v/>
      </c>
      <c r="T99" s="1" t="n">
        <v>156867</v>
      </c>
      <c r="U99" s="1" t="n">
        <v>161767</v>
      </c>
      <c r="AA99" s="1" t="n">
        <v>33415.2</v>
      </c>
      <c r="AB99" s="1" t="n">
        <v>36639.6</v>
      </c>
      <c r="AD99" s="1" t="n">
        <v>53267.2</v>
      </c>
      <c r="AE99" s="1" t="n">
        <v>21.279754716</v>
      </c>
      <c r="AF99" s="1" t="n">
        <v>0.0783824</v>
      </c>
    </row>
    <row r="100">
      <c r="A100" s="2" t="inlineStr">
        <is>
          <t>6.1-0105</t>
        </is>
      </c>
      <c r="B100" s="2" t="inlineStr">
        <is>
          <t>datacenter/closed/Wiwynn/GB300-NVL72_GB300-288GB_aarch64x4_TRT</t>
        </is>
      </c>
      <c r="C100" s="2" t="inlineStr">
        <is>
          <t>availableWiwynn</t>
        </is>
      </c>
      <c r="D100" s="2" t="n"/>
      <c r="E100" s="2" t="inlineStr">
        <is>
          <t>Wiwynn</t>
        </is>
      </c>
      <c r="F100" s="2" t="inlineStr">
        <is>
          <t>available</t>
        </is>
      </c>
      <c r="G100" s="2" t="inlineStr">
        <is>
          <t>OneW GB300 NVL72 (4x GB300-288GB_aarch64, TensorRT)</t>
        </is>
      </c>
      <c r="H100" s="2" t="n">
        <v>1</v>
      </c>
      <c r="I100" s="2" t="inlineStr">
        <is>
          <t>NVIDIA Grace CPU</t>
        </is>
      </c>
      <c r="J100" s="2" t="n">
        <v>2</v>
      </c>
      <c r="K100" s="2" t="inlineStr">
        <is>
          <t>NVIDIA GB300</t>
        </is>
      </c>
      <c r="L100" s="2" t="n">
        <v>4</v>
      </c>
      <c r="M100" s="2" t="n">
        <v>4</v>
      </c>
      <c r="N100" s="2" t="inlineStr">
        <is>
          <t>TensorRT 10.14, CUDA 13.1, cuDNN 9.17, TensorRT-LLM feat/1.2-mlpinf</t>
        </is>
      </c>
      <c r="O100" s="2" t="inlineStr">
        <is>
          <t>NVIDIA GB300 NVL72, 1400W TGP Per GPU</t>
        </is>
      </c>
      <c r="P100" s="2">
        <f>HYPERLINK("https://github.com/mlcommons/submissions_inference_v6.0/tree/main/closed/Wiwynn/results/GB300-NVL72_GB300-288GB_aarch64x4_TRT","details")</f>
        <v/>
      </c>
      <c r="Q100" s="2">
        <f>HYPERLINK("https://github.com/mlcommons/submissions_inference_v6.0/tree/main/closed/Wiwynn/src","code")</f>
        <v/>
      </c>
      <c r="AJ100" s="1" t="n">
        <v>60466.2</v>
      </c>
      <c r="AK100" s="1" t="n">
        <v>63990.5</v>
      </c>
    </row>
    <row r="101">
      <c r="A101" s="2" t="inlineStr">
        <is>
          <t>6.1-0106</t>
        </is>
      </c>
      <c r="B101" s="2" t="inlineStr">
        <is>
          <t>datacenter/closed/NVIDIA/VR-NVL72_VR-288GB_aarch64x72_TRT</t>
        </is>
      </c>
      <c r="C101" s="2" t="inlineStr">
        <is>
          <t>previewNVIDIA</t>
        </is>
      </c>
      <c r="D101" s="2" t="n"/>
      <c r="E101" s="2" t="inlineStr">
        <is>
          <t>NVIDIA</t>
        </is>
      </c>
      <c r="F101" s="2" t="inlineStr">
        <is>
          <t>preview</t>
        </is>
      </c>
      <c r="G101" s="2" t="inlineStr">
        <is>
          <t>NVIDIA VeraRubin NVL72 (72x VR-288GB_aarch64)</t>
        </is>
      </c>
      <c r="H101" s="2" t="n">
        <v>18</v>
      </c>
      <c r="I101" s="2" t="inlineStr">
        <is>
          <t>NVIDIA Vera CPU</t>
        </is>
      </c>
      <c r="J101" s="2" t="n">
        <v>2</v>
      </c>
      <c r="K101" s="2" t="inlineStr">
        <is>
          <t>NVIDIA VeraRubin</t>
        </is>
      </c>
      <c r="L101" s="2" t="n">
        <v>4</v>
      </c>
      <c r="M101" s="2" t="n">
        <v>72</v>
      </c>
      <c r="N101" s="2" t="inlineStr">
        <is>
          <t>TRTLLM-rubin, vLLM-CentML:mlperf-inf-mm-q3vl-v6.1, Dynamo</t>
        </is>
      </c>
      <c r="O101" s="2" t="inlineStr">
        <is>
          <t>NVIDIA VeraRubin NVL72, 2300W TGP Per GPU</t>
        </is>
      </c>
      <c r="P101" s="2">
        <f>HYPERLINK("https://github.com/mlcommons/submissions_inference_v6.0/tree/main/closed/NVIDIA/results/VR-NVL72_VR-288GB_aarch64x72_TRT","details")</f>
        <v/>
      </c>
      <c r="Q101" s="2">
        <f>HYPERLINK("https://github.com/mlcommons/submissions_inference_v6.0/tree/main/closed/NVIDIA/src","code")</f>
        <v/>
      </c>
      <c r="AA101" s="1" t="n">
        <v>1175890.220816824</v>
      </c>
      <c r="AB101" s="1" t="n">
        <v>1183326.854032202</v>
      </c>
      <c r="AC101" s="1" t="n">
        <v>652750.1447708113</v>
      </c>
      <c r="AG101" s="1" t="n">
        <v>2323.269841782506</v>
      </c>
      <c r="AH101" s="1" t="n">
        <v>2392.69791945877</v>
      </c>
      <c r="AI101" s="1" t="n">
        <v>1306.607844683451</v>
      </c>
    </row>
    <row r="102">
      <c r="A102" s="2" t="inlineStr">
        <is>
          <t>6.1-0107</t>
        </is>
      </c>
      <c r="B102" s="2" t="inlineStr">
        <is>
          <t>datacenter/closed/Nebius/VR200-NVL72_aarch64x36</t>
        </is>
      </c>
      <c r="C102" s="2" t="inlineStr">
        <is>
          <t>previewNebius</t>
        </is>
      </c>
      <c r="D102" s="2" t="n"/>
      <c r="E102" s="2" t="inlineStr">
        <is>
          <t>Nebius</t>
        </is>
      </c>
      <c r="F102" s="2" t="inlineStr">
        <is>
          <t>preview</t>
        </is>
      </c>
      <c r="G102" s="2" t="inlineStr">
        <is>
          <t>Nebius VR200 NVL72 (36x VR200-288GB_aarch64, TensorRT)</t>
        </is>
      </c>
      <c r="H102" s="2" t="n">
        <v>9</v>
      </c>
      <c r="I102" s="2" t="inlineStr">
        <is>
          <t>NVIDIA Vera CPU</t>
        </is>
      </c>
      <c r="J102" s="2" t="n">
        <v>2</v>
      </c>
      <c r="K102" s="2" t="inlineStr">
        <is>
          <t>NVIDIA VR200</t>
        </is>
      </c>
      <c r="L102" s="2" t="n">
        <v>4</v>
      </c>
      <c r="M102" s="2" t="n">
        <v>36</v>
      </c>
      <c r="N102" s="2" t="inlineStr">
        <is>
          <t>TRTLLM-rubin, vLLM-CentML:mlperf-inf-mm-q3vl-v6.1, Dynamo</t>
        </is>
      </c>
      <c r="O102" s="2" t="inlineStr">
        <is>
          <t>NVIDIA VR200 NVL72, 2300W TGP Per GPU</t>
        </is>
      </c>
      <c r="P102" s="2">
        <f>HYPERLINK("https://github.com/mlcommons/submissions_inference_v6.0/tree/main/closed/Nebius/results/VR200-NVL72_aarch64x36","details")</f>
        <v/>
      </c>
      <c r="Q102" s="2">
        <f>HYPERLINK("https://github.com/mlcommons/submissions_inference_v6.0/tree/main/closed/Nebius/src","code")</f>
        <v/>
      </c>
      <c r="AA102" s="1" t="n">
        <v>591368.312764167</v>
      </c>
      <c r="AB102" s="1" t="n">
        <v>558802.8293934778</v>
      </c>
    </row>
    <row r="103">
      <c r="A103" s="2" t="inlineStr">
        <is>
          <t>6.1-0108</t>
        </is>
      </c>
      <c r="B103" s="2" t="inlineStr">
        <is>
          <t>datacenter/closed/Naeem Khoshnevis/H200</t>
        </is>
      </c>
      <c r="C103" s="2" t="inlineStr">
        <is>
          <t>rdiNaeem Khoshnevis</t>
        </is>
      </c>
      <c r="D103" s="2" t="n"/>
      <c r="E103" s="2" t="inlineStr">
        <is>
          <t>Naeem Khoshnevis</t>
        </is>
      </c>
      <c r="F103" s="2" t="inlineStr">
        <is>
          <t>rdi</t>
        </is>
      </c>
      <c r="G103" s="2" t="inlineStr">
        <is>
          <t>H200-1xGPU</t>
        </is>
      </c>
      <c r="H103" s="2" t="n">
        <v>1</v>
      </c>
      <c r="I103" s="2" t="inlineStr">
        <is>
          <t>AMD EPYC 9374F 32-Core Processor</t>
        </is>
      </c>
      <c r="J103" s="2" t="n">
        <v>2</v>
      </c>
      <c r="K103" s="2" t="inlineStr">
        <is>
          <t>NVIDIA H200-SXM-141GB</t>
        </is>
      </c>
      <c r="L103" s="2" t="n">
        <v>1</v>
      </c>
      <c r="M103" s="2" t="n">
        <v>1</v>
      </c>
      <c r="N103" s="2" t="inlineStr">
        <is>
          <t>TensorRT-LLM 1.0.0 (FP8 W8A8 engine built with trtllm-build, served by trtllm-serve); MLCommons endpoints (LoadGen++) client; CUDA 12.9</t>
        </is>
      </c>
      <c r="O103" s="2" t="inlineStr">
        <is>
          <t>H200 node; 4x NVIDIA H200 141GB per node, 1 GPU used for llama3.1-8b. Subset-of-node use is disclosed: the job was cgroup-limited to 16 host CPU cores and 220-240 GB of host RAM depending on scenario (Offline 240 GB, Server 220 GB) out of the node's 2x32-core CPUs and 1.5 TB. GPU ECC verified enabled via nvidia-smi on the GPU used.. llama3.1-8b served by TensorRT-LLM 1.0.0 as an FP8 (W8A8) engine with FP8 KV cache. Weights quantized by NVIDIA ModelOpt static per-tensor PTQ calibrated on the MLPerf-official CNN/DailyMail calibration id list (calibration/CNNDailyMail/calibration-list.txt, 998 unique ids; ModelOpt consumed a 512-row prefix spanning 510 unique ids). Calibration inputs were reconstructed from the ids as raw article text, not the reference instruction-templated calibration file; see documentation/calibration.md. TP1. KV-cache block reuse explicitly DISABLED via --extra_llm_api_options (enable_block_reuse, enable_partial_reuse and copy_on_partial_reuse all false in both scenarios).</t>
        </is>
      </c>
      <c r="P103" s="2">
        <f>HYPERLINK("https://github.com/mlcommons/submissions_inference_v6.0/tree/main/closed/Naeem Khoshnevis/results/H200","details")</f>
        <v/>
      </c>
      <c r="Q103" s="2">
        <f>HYPERLINK("https://github.com/mlcommons/submissions_inference_v6.0/tree/main/closed/Naeem Khoshnevis/src","code")</f>
        <v/>
      </c>
      <c r="T103" s="1" t="n">
        <v>7376.597666232419</v>
      </c>
      <c r="U103" s="1" t="n">
        <v>7796.585132594509</v>
      </c>
    </row>
  </sheetData>
  <mergeCells count="8">
    <mergeCell ref="T2:V2"/>
    <mergeCell ref="AG2:AI2"/>
    <mergeCell ref="AJ2:AL2"/>
    <mergeCell ref="AA2:AC2"/>
    <mergeCell ref="R1:AN1"/>
    <mergeCell ref="AE2:AF2"/>
    <mergeCell ref="R2:S2"/>
    <mergeCell ref="W2:Y2"/>
  </mergeCells>
  <conditionalFormatting sqref="A6:CW201">
    <cfRule type="expression" priority="1" dxfId="0">
      <formula>mod(countunique($c$6:$c6), 2) = 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hidden="1" min="2" max="3"/>
    <col width="9.140625" customWidth="1" style="1" min="18" max="101"/>
  </cols>
  <sheetData>
    <row r="1">
      <c r="Q1" s="2" t="n"/>
      <c r="R1" s="2" t="inlineStr">
        <is>
          <t>Result</t>
        </is>
      </c>
      <c r="S1" s="3" t="n"/>
      <c r="T1" s="3" t="n"/>
      <c r="U1" s="3" t="n"/>
      <c r="V1" s="3" t="n"/>
      <c r="W1" s="3" t="n"/>
      <c r="X1" s="3" t="n"/>
      <c r="Y1" s="4" t="n"/>
    </row>
    <row r="2">
      <c r="Q2" s="2" t="inlineStr">
        <is>
          <t>Model</t>
        </is>
      </c>
      <c r="R2" s="2" t="inlineStr">
        <is>
          <t>yolo-95</t>
        </is>
      </c>
      <c r="S2" s="3" t="n"/>
      <c r="T2" s="4" t="n"/>
      <c r="U2" s="2" t="inlineStr">
        <is>
          <t>yolo-99</t>
        </is>
      </c>
      <c r="V2" s="3" t="n"/>
      <c r="W2" s="4" t="n"/>
      <c r="X2" s="2" t="inlineStr">
        <is>
          <t>whisper</t>
        </is>
      </c>
      <c r="Y2" s="2" t="inlineStr">
        <is>
          <t>agentic edge</t>
        </is>
      </c>
    </row>
    <row r="3">
      <c r="Q3" s="2" t="inlineStr">
        <is>
          <t>Scenario</t>
        </is>
      </c>
      <c r="R3" s="2" t="inlineStr">
        <is>
          <t>SingleStream</t>
        </is>
      </c>
      <c r="S3" s="2" t="inlineStr">
        <is>
          <t>MultiStream</t>
        </is>
      </c>
      <c r="T3" s="2" t="inlineStr">
        <is>
          <t>Offline</t>
        </is>
      </c>
      <c r="U3" s="2" t="inlineStr">
        <is>
          <t>SingleStream</t>
        </is>
      </c>
      <c r="V3" s="2" t="inlineStr">
        <is>
          <t>MultiStream</t>
        </is>
      </c>
      <c r="W3" s="2" t="inlineStr">
        <is>
          <t>Offline</t>
        </is>
      </c>
      <c r="X3" s="2" t="inlineStr">
        <is>
          <t>Offline</t>
        </is>
      </c>
      <c r="Y3" s="2" t="inlineStr">
        <is>
          <t>SingleStream</t>
        </is>
      </c>
    </row>
    <row r="4">
      <c r="Q4" s="2" t="inlineStr">
        <is>
          <t>Units</t>
        </is>
      </c>
      <c r="R4" s="2" t="inlineStr">
        <is>
          <t>Latency (ms)</t>
        </is>
      </c>
      <c r="S4" s="2" t="inlineStr">
        <is>
          <t>Latency (ms)</t>
        </is>
      </c>
      <c r="T4" s="2" t="inlineStr">
        <is>
          <t>Samples/s</t>
        </is>
      </c>
      <c r="U4" s="2" t="inlineStr">
        <is>
          <t>Latency (ms)</t>
        </is>
      </c>
      <c r="V4" s="2" t="inlineStr">
        <is>
          <t>Latency (ms)</t>
        </is>
      </c>
      <c r="W4" s="2" t="inlineStr">
        <is>
          <t>Samples/s</t>
        </is>
      </c>
      <c r="X4" s="2" t="inlineStr">
        <is>
          <t>Samples/s</t>
        </is>
      </c>
      <c r="Y4" s="2" t="inlineStr">
        <is>
          <t>Latency (ms)</t>
        </is>
      </c>
    </row>
    <row r="5">
      <c r="A5" s="2" t="inlineStr">
        <is>
          <t>ID</t>
        </is>
      </c>
      <c r="B5" s="2" t="inlineStr">
        <is>
          <t>Unique ID (e.g. for Audit)</t>
        </is>
      </c>
      <c r="C5" s="2" t="inlineStr">
        <is>
          <t>ColorKey</t>
        </is>
      </c>
      <c r="D5" s="2" t="inlineStr">
        <is>
          <t>PrivateID</t>
        </is>
      </c>
      <c r="E5" s="2" t="inlineStr">
        <is>
          <t>Submitter</t>
        </is>
      </c>
      <c r="F5" s="2" t="inlineStr">
        <is>
          <t>Availability</t>
        </is>
      </c>
      <c r="G5" s="2" t="inlineStr">
        <is>
          <t>System</t>
        </is>
      </c>
      <c r="H5" s="2" t="inlineStr">
        <is>
          <t>Nodes</t>
        </is>
      </c>
      <c r="I5" s="2" t="inlineStr">
        <is>
          <t>Processor</t>
        </is>
      </c>
      <c r="J5" s="2" t="inlineStr">
        <is>
          <t>p#</t>
        </is>
      </c>
      <c r="K5" s="2" t="inlineStr">
        <is>
          <t>Accelerator</t>
        </is>
      </c>
      <c r="L5" s="2" t="inlineStr">
        <is>
          <t>a#</t>
        </is>
      </c>
      <c r="M5" s="2" t="inlineStr">
        <is>
          <t>Total Accelerators</t>
        </is>
      </c>
      <c r="N5" s="2" t="inlineStr">
        <is>
          <t>Software</t>
        </is>
      </c>
      <c r="O5" s="2" t="inlineStr">
        <is>
          <t>Notes</t>
        </is>
      </c>
      <c r="P5" s="2" t="inlineStr">
        <is>
          <t>Details</t>
        </is>
      </c>
      <c r="Q5" s="2" t="inlineStr">
        <is>
          <t>Code</t>
        </is>
      </c>
    </row>
    <row r="6">
      <c r="A6" s="2" t="inlineStr">
        <is>
          <t>6.1-0006</t>
        </is>
      </c>
      <c r="B6" s="2" t="inlineStr">
        <is>
          <t>edge/closed/Atlas_Inference/DGX_Spark_GB10</t>
        </is>
      </c>
      <c r="C6" s="2" t="inlineStr">
        <is>
          <t>availableAtlas_Inference</t>
        </is>
      </c>
      <c r="D6" s="2" t="n"/>
      <c r="E6" s="2" t="inlineStr">
        <is>
          <t>Atlas_Inference</t>
        </is>
      </c>
      <c r="F6" s="2" t="inlineStr">
        <is>
          <t>available</t>
        </is>
      </c>
      <c r="G6" s="2" t="inlineStr">
        <is>
          <t>NVIDIA DGX Spark (GB10 Grace Blackwell Superchip)</t>
        </is>
      </c>
      <c r="H6" s="2" t="n">
        <v>1</v>
      </c>
      <c r="I6" s="2" t="inlineStr">
        <is>
          <t>NVIDIA Grace (20-core Arm v9.2)</t>
        </is>
      </c>
      <c r="J6" s="2" t="n">
        <v>1</v>
      </c>
      <c r="K6" s="2" t="inlineStr">
        <is>
          <t>NVIDIA GB10</t>
        </is>
      </c>
      <c r="L6" s="2" t="n">
        <v>1</v>
      </c>
      <c r="M6" s="2" t="n">
        <v>1</v>
      </c>
      <c r="N6" s="2" t="inlineStr">
        <is>
          <t>Atlas (spark), CUDA NVFP4</t>
        </is>
      </c>
      <c r="O6" s="2" t="inlineStr">
        <is>
          <t>NVIDIA DGX Spark GB10 Grace Blackwell Superchip with 128 GB unified LPDDR5X memory (~273 GB/s) shared between the Grace CPU and the GB10 GPU; roughly 119-121 GiB of that is reportable to the OS as usable. GB10 GPU is Blackwell, sm_121a / compute capability 12.1.. Atlas NVFP4 serve; chain-widened MTP verify K=4 (3 drafts) + drafter context prefill/carry; GDN register-resident warm-replay (ATLAS_GDN_REGRESIDENT, merged default-on upstream as 063d87ee); see results/.../README.md.</t>
        </is>
      </c>
      <c r="P6" s="2">
        <f>HYPERLINK("https://github.com/mlcommons/submissions_inference_v6.0/tree/main/closed/Atlas_Inference/results/DGX_Spark_GB10","details")</f>
        <v/>
      </c>
      <c r="Q6" s="2">
        <f>HYPERLINK("https://github.com/mlcommons/submissions_inference_v6.0/tree/main/closed/Atlas_Inference/src","code")</f>
        <v/>
      </c>
      <c r="Y6" s="1" t="n">
        <v>3807.66351136147</v>
      </c>
    </row>
    <row r="7">
      <c r="A7" s="2" t="inlineStr">
        <is>
          <t>6.1-0007</t>
        </is>
      </c>
      <c r="B7" s="2" t="inlineStr">
        <is>
          <t>edge/closed/Atlas_Inference/Strix_Halo</t>
        </is>
      </c>
      <c r="C7" s="2" t="inlineStr">
        <is>
          <t>availableAtlas_Inference</t>
        </is>
      </c>
      <c r="D7" s="2" t="n"/>
      <c r="E7" s="2" t="inlineStr">
        <is>
          <t>Atlas_Inference</t>
        </is>
      </c>
      <c r="F7" s="2" t="inlineStr">
        <is>
          <t>available</t>
        </is>
      </c>
      <c r="G7" s="2" t="inlineStr">
        <is>
          <t>AMD Strix Halo desktop (Ryzen AI Max+ 395 / Radeon 8060S)</t>
        </is>
      </c>
      <c r="H7" s="2" t="n">
        <v>1</v>
      </c>
      <c r="I7" s="2" t="inlineStr">
        <is>
          <t>AMD Ryzen AI Max+ 395</t>
        </is>
      </c>
      <c r="J7" s="2" t="n">
        <v>1</v>
      </c>
      <c r="K7" s="2" t="inlineStr">
        <is>
          <t>AMD Radeon 8060S Graphics</t>
        </is>
      </c>
      <c r="L7" s="2" t="n">
        <v>1</v>
      </c>
      <c r="M7" s="2" t="n">
        <v>1</v>
      </c>
      <c r="N7" s="2" t="inlineStr">
        <is>
          <t>Atlas (spark), native-HIP NVFP4</t>
        </is>
      </c>
      <c r="O7" s="2" t="inlineStr">
        <is>
          <t>AMD Strix Halo APU (Ryzen AI Max+ 395) with 128 GB unified LPDDR5X memory shared between the CPU and the integrated GPU; ~62.5 GB of that is GPU-addressable via GTT. Radeon 8060S Graphics is gfx1151, RDNA3.5.. Atlas NVFP4 native-HIP serve; MTP K=3 (2 drafts) + drafter context-prefill; see results/.../README.md.</t>
        </is>
      </c>
      <c r="P7" s="2">
        <f>HYPERLINK("https://github.com/mlcommons/submissions_inference_v6.0/tree/main/closed/Atlas_Inference/results/Strix_Halo","details")</f>
        <v/>
      </c>
      <c r="Q7" s="2">
        <f>HYPERLINK("https://github.com/mlcommons/submissions_inference_v6.0/tree/main/closed/Atlas_Inference/src","code")</f>
        <v/>
      </c>
      <c r="Y7" s="1" t="n">
        <v>7058.989199685204</v>
      </c>
    </row>
    <row r="8">
      <c r="A8" s="2" t="inlineStr">
        <is>
          <t>6.1-0039</t>
        </is>
      </c>
      <c r="B8" s="2" t="inlineStr">
        <is>
          <t>edge/closed/Dell/Dell_Pro_Max_GB10x1</t>
        </is>
      </c>
      <c r="C8" s="2" t="inlineStr">
        <is>
          <t>availableDell</t>
        </is>
      </c>
      <c r="D8" s="2" t="n"/>
      <c r="E8" s="2" t="inlineStr">
        <is>
          <t>Dell</t>
        </is>
      </c>
      <c r="F8" s="2" t="inlineStr">
        <is>
          <t>available</t>
        </is>
      </c>
      <c r="G8" s="2" t="inlineStr">
        <is>
          <t>Dell Pro Max (1x GB10)</t>
        </is>
      </c>
      <c r="H8" s="2" t="n">
        <v>1</v>
      </c>
      <c r="I8" s="2" t="inlineStr">
        <is>
          <t>Cortex-X925</t>
        </is>
      </c>
      <c r="J8" s="2" t="n">
        <v>20</v>
      </c>
      <c r="K8" s="2" t="inlineStr">
        <is>
          <t>NVIDIA GB10</t>
        </is>
      </c>
      <c r="L8" s="2" t="n">
        <v>1</v>
      </c>
      <c r="M8" s="2" t="n">
        <v>1</v>
      </c>
      <c r="N8" s="2" t="inlineStr">
        <is>
          <t>CUDA 13.0</t>
        </is>
      </c>
      <c r="O8" s="2" t="inlineStr">
        <is>
          <t>Dell Pro Max with GB10</t>
        </is>
      </c>
      <c r="P8" s="2">
        <f>HYPERLINK("https://github.com/mlcommons/submissions_inference_v6.0/tree/main/closed/Dell/results/Dell_Pro_Max_GB10x1","details")</f>
        <v/>
      </c>
      <c r="Q8" s="2">
        <f>HYPERLINK("https://github.com/mlcommons/submissions_inference_v6.0/tree/main/closed/Dell/src","code")</f>
        <v/>
      </c>
      <c r="R8" s="1" t="n">
        <v>13.865536</v>
      </c>
      <c r="S8" s="1" t="n">
        <v>105.162072</v>
      </c>
      <c r="T8" s="1" t="n">
        <v>78.7257</v>
      </c>
      <c r="U8" s="1" t="n">
        <v>13.865536</v>
      </c>
      <c r="V8" s="1" t="n">
        <v>105.162072</v>
      </c>
      <c r="W8" s="1" t="n">
        <v>78.7257</v>
      </c>
    </row>
    <row r="9">
      <c r="A9" s="2" t="inlineStr">
        <is>
          <t>6.1-0053</t>
        </is>
      </c>
      <c r="B9" s="2" t="inlineStr">
        <is>
          <t>edge/closed/HPE/HPE_PROLIANT_DL145_RTX_PRO_4500_PCIE_32GBx1</t>
        </is>
      </c>
      <c r="C9" s="2" t="inlineStr">
        <is>
          <t>availableHPE</t>
        </is>
      </c>
      <c r="D9" s="2" t="n"/>
      <c r="E9" s="2" t="inlineStr">
        <is>
          <t>HPE</t>
        </is>
      </c>
      <c r="F9" s="2" t="inlineStr">
        <is>
          <t>available</t>
        </is>
      </c>
      <c r="G9" s="2" t="inlineStr">
        <is>
          <t>HPE ProLiant DL145 Gen11 (1x NVIDIA RTX PRO 4500 Blackwell Server Edition 32GB, TensorRT)</t>
        </is>
      </c>
      <c r="H9" s="2" t="n">
        <v>1</v>
      </c>
      <c r="I9" s="2" t="inlineStr">
        <is>
          <t>AMD EPYC 8535P</t>
        </is>
      </c>
      <c r="J9" s="2" t="n">
        <v>1</v>
      </c>
      <c r="K9" s="2" t="inlineStr">
        <is>
          <t>NVIDIA RTX PRO 4500 Blackwell Server Edition</t>
        </is>
      </c>
      <c r="L9" s="2" t="n">
        <v>1</v>
      </c>
      <c r="M9" s="2" t="n">
        <v>1</v>
      </c>
      <c r="N9" s="2" t="inlineStr">
        <is>
          <t>llama.cpp</t>
        </is>
      </c>
      <c r="O9" s="2" t="n"/>
      <c r="P9" s="2">
        <f>HYPERLINK("https://github.com/mlcommons/submissions_inference_v6.0/tree/main/closed/HPE/results/HPE_PROLIANT_DL145_RTX_PRO_4500_PCIE_32GBx1","details")</f>
        <v/>
      </c>
      <c r="Q9" s="2">
        <f>HYPERLINK("https://github.com/mlcommons/submissions_inference_v6.0/tree/main/closed/HPE/src","code")</f>
        <v/>
      </c>
      <c r="Y9" s="1" t="n">
        <v>2757.954404037736</v>
      </c>
    </row>
    <row r="10">
      <c r="A10" s="2" t="inlineStr">
        <is>
          <t>6.1-0054</t>
        </is>
      </c>
      <c r="B10" s="2" t="inlineStr">
        <is>
          <t>edge/closed/HPE/HPE_PROLIANT_DL345_GEN12_RTX_PRO_4500_PCIE_32GBx1</t>
        </is>
      </c>
      <c r="C10" s="2" t="inlineStr">
        <is>
          <t>availableHPE</t>
        </is>
      </c>
      <c r="D10" s="2" t="n"/>
      <c r="E10" s="2" t="inlineStr">
        <is>
          <t>HPE</t>
        </is>
      </c>
      <c r="F10" s="2" t="inlineStr">
        <is>
          <t>available</t>
        </is>
      </c>
      <c r="G10" s="2" t="inlineStr">
        <is>
          <t>HPE ProLiant Compute DL345 Gen12 (1x NVIDIA RTX PRO 4500 Blackwell Server Edition 32GB, TensorRT)</t>
        </is>
      </c>
      <c r="H10" s="2" t="n">
        <v>1</v>
      </c>
      <c r="I10" s="2" t="inlineStr">
        <is>
          <t>AMD EPYC 9375F</t>
        </is>
      </c>
      <c r="J10" s="2" t="n">
        <v>1</v>
      </c>
      <c r="K10" s="2" t="inlineStr">
        <is>
          <t>NVIDIA RTX PRO 4500 Blackwell Server Edition</t>
        </is>
      </c>
      <c r="L10" s="2" t="n">
        <v>1</v>
      </c>
      <c r="M10" s="2" t="n">
        <v>1</v>
      </c>
      <c r="N10" s="2" t="inlineStr">
        <is>
          <t>PyTorch v2.13.0</t>
        </is>
      </c>
      <c r="O10" s="2" t="n"/>
      <c r="P10" s="2">
        <f>HYPERLINK("https://github.com/mlcommons/submissions_inference_v6.0/tree/main/closed/HPE/results/HPE_PROLIANT_DL345_GEN12_RTX_PRO_4500_PCIE_32GBx1","details")</f>
        <v/>
      </c>
      <c r="Q10" s="2">
        <f>HYPERLINK("https://github.com/mlcommons/submissions_inference_v6.0/tree/main/closed/HPE/src","code")</f>
        <v/>
      </c>
      <c r="R10" s="1" t="n">
        <v>76.664039</v>
      </c>
      <c r="S10" s="1" t="n">
        <v>676.268814</v>
      </c>
      <c r="T10" s="1" t="n">
        <v>146.207</v>
      </c>
    </row>
    <row r="11">
      <c r="A11" s="2" t="inlineStr">
        <is>
          <t>6.1-0055</t>
        </is>
      </c>
      <c r="B11" s="2" t="inlineStr">
        <is>
          <t>edge/closed/HPE/HPE_PROLIANT_DL345_GEN12_RTX_PRO_4500_PCIE_32GBx4_AGENTIC</t>
        </is>
      </c>
      <c r="C11" s="2" t="inlineStr">
        <is>
          <t>availableHPE</t>
        </is>
      </c>
      <c r="D11" s="2" t="n"/>
      <c r="E11" s="2" t="inlineStr">
        <is>
          <t>HPE</t>
        </is>
      </c>
      <c r="F11" s="2" t="inlineStr">
        <is>
          <t>available</t>
        </is>
      </c>
      <c r="G11" s="2" t="inlineStr">
        <is>
          <t>HPE ProLiant Compute DL345 Gen12 (4x NVIDIA RTX PRO 4500 Blackwell Server Edition 32GB, TensorRT</t>
        </is>
      </c>
      <c r="H11" s="2" t="n">
        <v>1</v>
      </c>
      <c r="I11" s="2" t="inlineStr">
        <is>
          <t>AMD EPYC 9375F</t>
        </is>
      </c>
      <c r="J11" s="2" t="n">
        <v>1</v>
      </c>
      <c r="K11" s="2" t="inlineStr">
        <is>
          <t>NVIDIA RTX PRO 4500 Blackwell Server Edition</t>
        </is>
      </c>
      <c r="L11" s="2" t="n">
        <v>4</v>
      </c>
      <c r="M11" s="2" t="n">
        <v>4</v>
      </c>
      <c r="N11" s="2" t="inlineStr">
        <is>
          <t>llama.cpp</t>
        </is>
      </c>
      <c r="O11" s="2" t="n"/>
      <c r="P11" s="2">
        <f>HYPERLINK("https://github.com/mlcommons/submissions_inference_v6.0/tree/main/closed/HPE/results/HPE_PROLIANT_DL345_GEN12_RTX_PRO_4500_PCIE_32GBx4_AGENTIC","details")</f>
        <v/>
      </c>
      <c r="Q11" s="2">
        <f>HYPERLINK("https://github.com/mlcommons/submissions_inference_v6.0/tree/main/closed/HPE/src","code")</f>
        <v/>
      </c>
      <c r="Y11" s="1" t="n">
        <v>2616.15900548858</v>
      </c>
    </row>
    <row r="12">
      <c r="A12" s="2" t="inlineStr">
        <is>
          <t>6.1-0056</t>
        </is>
      </c>
      <c r="B12" s="2" t="inlineStr">
        <is>
          <t>edge/closed/HPE/HPE_PROLIANT_DL345_GEN12_RTX_PRO_4500_PCIE_32GBx4_TRT</t>
        </is>
      </c>
      <c r="C12" s="2" t="inlineStr">
        <is>
          <t>availableHPE</t>
        </is>
      </c>
      <c r="D12" s="2" t="n"/>
      <c r="E12" s="2" t="inlineStr">
        <is>
          <t>HPE</t>
        </is>
      </c>
      <c r="F12" s="2" t="inlineStr">
        <is>
          <t>available</t>
        </is>
      </c>
      <c r="G12" s="2" t="inlineStr">
        <is>
          <t>HPE ProLiant Compute DL345 Gen12 (4x NVIDIA RTX PRO 4500 Blackwell Server Edition 32GB, TensorRT</t>
        </is>
      </c>
      <c r="H12" s="2" t="n">
        <v>1</v>
      </c>
      <c r="I12" s="2" t="inlineStr">
        <is>
          <t>AMD EPYC 9375F</t>
        </is>
      </c>
      <c r="J12" s="2" t="n">
        <v>1</v>
      </c>
      <c r="K12" s="2" t="inlineStr">
        <is>
          <t>NVIDIA RTX PRO 4500 Blackwell Server Edition</t>
        </is>
      </c>
      <c r="L12" s="2" t="n">
        <v>4</v>
      </c>
      <c r="M12" s="2" t="n">
        <v>4</v>
      </c>
      <c r="N12" s="2" t="inlineStr">
        <is>
          <t>TensorRT 10.15.1.29, CUDA 13.2</t>
        </is>
      </c>
      <c r="O12" s="2" t="n"/>
      <c r="P12" s="2">
        <f>HYPERLINK("https://github.com/mlcommons/submissions_inference_v6.0/tree/main/closed/HPE/results/HPE_PROLIANT_DL345_GEN12_RTX_PRO_4500_PCIE_32GBx4_TRT","details")</f>
        <v/>
      </c>
      <c r="Q12" s="2">
        <f>HYPERLINK("https://github.com/mlcommons/submissions_inference_v6.0/tree/main/closed/HPE/src","code")</f>
        <v/>
      </c>
      <c r="X12" s="1" t="n">
        <v>3685.7</v>
      </c>
    </row>
    <row r="13">
      <c r="A13" s="2" t="inlineStr">
        <is>
          <t>6.1-0057</t>
        </is>
      </c>
      <c r="B13" s="2" t="inlineStr">
        <is>
          <t>edge/closed/HPE/HPE_PROLIANT_DL380_RTX_PRO_4500_PCIE_32GBx1_TRT</t>
        </is>
      </c>
      <c r="C13" s="2" t="inlineStr">
        <is>
          <t>availableHPE</t>
        </is>
      </c>
      <c r="D13" s="2" t="n"/>
      <c r="E13" s="2" t="inlineStr">
        <is>
          <t>HPE</t>
        </is>
      </c>
      <c r="F13" s="2" t="inlineStr">
        <is>
          <t>available</t>
        </is>
      </c>
      <c r="G13" s="2" t="inlineStr">
        <is>
          <t>HPE ProLiant Compute DL380 Gen12 (1x NVIDIA RTX PRO 4500 Blackwell Server Edition 32GB)</t>
        </is>
      </c>
      <c r="H13" s="2" t="n">
        <v>1</v>
      </c>
      <c r="I13" s="2" t="inlineStr">
        <is>
          <t>Intel(R) Xeon(R) 6762P</t>
        </is>
      </c>
      <c r="J13" s="2" t="n">
        <v>2</v>
      </c>
      <c r="K13" s="2" t="inlineStr">
        <is>
          <t>NVIDIA RTX PRO 4500 Blackwell Server Edition</t>
        </is>
      </c>
      <c r="L13" s="2" t="n">
        <v>1</v>
      </c>
      <c r="M13" s="2" t="n">
        <v>1</v>
      </c>
      <c r="N13" s="2" t="inlineStr">
        <is>
          <t>PyTorch v2.13.0</t>
        </is>
      </c>
      <c r="O13" s="2" t="n"/>
      <c r="P13" s="2">
        <f>HYPERLINK("https://github.com/mlcommons/submissions_inference_v6.0/tree/main/closed/HPE/results/HPE_PROLIANT_DL380_RTX_PRO_4500_PCIE_32GBx1_TRT","details")</f>
        <v/>
      </c>
      <c r="Q13" s="2">
        <f>HYPERLINK("https://github.com/mlcommons/submissions_inference_v6.0/tree/main/closed/HPE/src","code")</f>
        <v/>
      </c>
      <c r="R13" s="1" t="n">
        <v>14.136709</v>
      </c>
      <c r="S13" s="1" t="n">
        <v>116.101325</v>
      </c>
      <c r="T13" s="1" t="n">
        <v>72.1855</v>
      </c>
    </row>
    <row r="14">
      <c r="A14" s="2" t="inlineStr">
        <is>
          <t>6.1-0058</t>
        </is>
      </c>
      <c r="B14" s="2" t="inlineStr">
        <is>
          <t>edge/closed/HPE/HPE_PROLIANT_DL380_RTX_PRO_4500_PCIE_32GBx5_TRT</t>
        </is>
      </c>
      <c r="C14" s="2" t="inlineStr">
        <is>
          <t>availableHPE</t>
        </is>
      </c>
      <c r="D14" s="2" t="n"/>
      <c r="E14" s="2" t="inlineStr">
        <is>
          <t>HPE</t>
        </is>
      </c>
      <c r="F14" s="2" t="inlineStr">
        <is>
          <t>available</t>
        </is>
      </c>
      <c r="G14" s="2" t="inlineStr">
        <is>
          <t>HPE ProLiant Compute DL380 Gen12 (5x NVIDIA RTX PRO 4500 Blackwell Server Edition 32GB, TensorRT)</t>
        </is>
      </c>
      <c r="H14" s="2" t="n">
        <v>1</v>
      </c>
      <c r="I14" s="2" t="inlineStr">
        <is>
          <t>Intel(R) Xeon(R) 6762P</t>
        </is>
      </c>
      <c r="J14" s="2" t="n">
        <v>2</v>
      </c>
      <c r="K14" s="2" t="inlineStr">
        <is>
          <t>NVIDIA RTX PRO 4500 Blackwell Server Edition</t>
        </is>
      </c>
      <c r="L14" s="2" t="n">
        <v>5</v>
      </c>
      <c r="M14" s="2" t="n">
        <v>5</v>
      </c>
      <c r="N14" s="2" t="inlineStr">
        <is>
          <t>TensorRT 10.11.0.33, CUDA 13.2</t>
        </is>
      </c>
      <c r="O14" s="2" t="n"/>
      <c r="P14" s="2">
        <f>HYPERLINK("https://github.com/mlcommons/submissions_inference_v6.0/tree/main/closed/HPE/results/HPE_PROLIANT_DL380_RTX_PRO_4500_PCIE_32GBx5_TRT","details")</f>
        <v/>
      </c>
      <c r="Q14" s="2">
        <f>HYPERLINK("https://github.com/mlcommons/submissions_inference_v6.0/tree/main/closed/HPE/src","code")</f>
        <v/>
      </c>
      <c r="X14" s="1" t="n">
        <v>4719.46</v>
      </c>
    </row>
    <row r="15">
      <c r="A15" s="2" t="inlineStr">
        <is>
          <t>6.1-0076</t>
        </is>
      </c>
      <c r="B15" s="2" t="inlineStr">
        <is>
          <t>edge/closed/NVIDIA/Jetson-Thor</t>
        </is>
      </c>
      <c r="C15" s="2" t="inlineStr">
        <is>
          <t>availableNVIDIA</t>
        </is>
      </c>
      <c r="D15" s="2" t="n"/>
      <c r="E15" s="2" t="inlineStr">
        <is>
          <t>NVIDIA</t>
        </is>
      </c>
      <c r="F15" s="2" t="inlineStr">
        <is>
          <t>available</t>
        </is>
      </c>
      <c r="G15" s="2" t="inlineStr">
        <is>
          <t>NVIDIA Jetson AGX Thor Developer Kit 128G (TensorRT)</t>
        </is>
      </c>
      <c r="H15" s="2" t="n">
        <v>1</v>
      </c>
      <c r="I15" s="2" t="inlineStr">
        <is>
          <t>14-core ARM Poseidon-AE CPU</t>
        </is>
      </c>
      <c r="J15" s="2" t="n">
        <v>1</v>
      </c>
      <c r="K15" s="2" t="inlineStr">
        <is>
          <t>NVIDIA Jetson AGX Thor 128G</t>
        </is>
      </c>
      <c r="L15" s="2" t="n">
        <v>1</v>
      </c>
      <c r="M15" s="2" t="n">
        <v>1</v>
      </c>
      <c r="N15" s="2" t="inlineStr">
        <is>
          <t>TensorRT 10.16, CUDA 13.2</t>
        </is>
      </c>
      <c r="O15" s="2" t="n"/>
      <c r="P15" s="2">
        <f>HYPERLINK("https://github.com/mlcommons/submissions_inference_v6.0/tree/main/closed/NVIDIA/results/Jetson-Thor","details")</f>
        <v/>
      </c>
      <c r="Q15" s="2">
        <f>HYPERLINK("https://github.com/mlcommons/submissions_inference_v6.0/tree/main/closed/NVIDIA/src","code")</f>
        <v/>
      </c>
      <c r="Y15" s="1" t="n">
        <v>1466.007675716981</v>
      </c>
    </row>
  </sheetData>
  <mergeCells count="3">
    <mergeCell ref="R2:T2"/>
    <mergeCell ref="U2:W2"/>
    <mergeCell ref="R1:Y1"/>
  </mergeCells>
  <conditionalFormatting sqref="A6:CW201">
    <cfRule type="expression" priority="1" dxfId="0">
      <formula>mod(countunique($c$6:$c6), 2) = 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hidden="1" min="2" max="3"/>
    <col width="9.140625" customWidth="1" style="1" min="18" max="101"/>
  </cols>
  <sheetData>
    <row r="1">
      <c r="S1" s="2" t="n"/>
      <c r="T1" s="2" t="inlineStr">
        <is>
          <t>Result</t>
        </is>
      </c>
      <c r="U1" s="3" t="n"/>
      <c r="V1" s="3" t="n"/>
      <c r="W1" s="3" t="n"/>
      <c r="X1" s="3" t="n"/>
      <c r="Y1" s="3" t="n"/>
      <c r="Z1" s="4" t="n"/>
    </row>
    <row r="2">
      <c r="S2" s="2" t="inlineStr">
        <is>
          <t>Model</t>
        </is>
      </c>
      <c r="T2" s="2" t="inlineStr">
        <is>
          <t>dlrm-v3</t>
        </is>
      </c>
      <c r="U2" s="4" t="n"/>
      <c r="V2" s="2" t="inlineStr">
        <is>
          <t>llama3.1-8b</t>
        </is>
      </c>
      <c r="W2" s="2" t="inlineStr">
        <is>
          <t>llama2-70b-99.9</t>
        </is>
      </c>
      <c r="X2" s="2" t="inlineStr">
        <is>
          <t>deepseek-r1</t>
        </is>
      </c>
      <c r="Y2" s="4" t="n"/>
      <c r="Z2" s="2" t="inlineStr">
        <is>
          <t>VLM</t>
        </is>
      </c>
    </row>
    <row r="3">
      <c r="S3" s="2" t="inlineStr">
        <is>
          <t>Scenario</t>
        </is>
      </c>
      <c r="T3" s="2" t="inlineStr">
        <is>
          <t>Server</t>
        </is>
      </c>
      <c r="U3" s="2" t="inlineStr">
        <is>
          <t>Offline</t>
        </is>
      </c>
      <c r="V3" s="2" t="inlineStr">
        <is>
          <t>Offline</t>
        </is>
      </c>
      <c r="W3" s="2" t="inlineStr">
        <is>
          <t>Offline</t>
        </is>
      </c>
      <c r="X3" s="2" t="inlineStr">
        <is>
          <t>Server</t>
        </is>
      </c>
      <c r="Y3" s="2" t="inlineStr">
        <is>
          <t>Offline</t>
        </is>
      </c>
      <c r="Z3" s="2" t="inlineStr">
        <is>
          <t>Offline</t>
        </is>
      </c>
    </row>
    <row r="4">
      <c r="S4" s="2" t="inlineStr">
        <is>
          <t>Units</t>
        </is>
      </c>
      <c r="T4" s="2" t="inlineStr">
        <is>
          <t>Queries/s</t>
        </is>
      </c>
      <c r="U4" s="2" t="inlineStr">
        <is>
          <t>Samples/s</t>
        </is>
      </c>
      <c r="V4" s="2" t="inlineStr">
        <is>
          <t>Tokens/s</t>
        </is>
      </c>
      <c r="W4" s="2" t="inlineStr">
        <is>
          <t>Tokens/s</t>
        </is>
      </c>
      <c r="X4" s="2" t="inlineStr">
        <is>
          <t>Tokens/s</t>
        </is>
      </c>
      <c r="Y4" s="2" t="inlineStr">
        <is>
          <t>Tokens/s</t>
        </is>
      </c>
      <c r="Z4" s="2" t="inlineStr">
        <is>
          <t>Samples/s</t>
        </is>
      </c>
    </row>
    <row r="5">
      <c r="A5" s="2" t="inlineStr">
        <is>
          <t>ID</t>
        </is>
      </c>
      <c r="B5" s="2" t="inlineStr">
        <is>
          <t>Unique ID (e.g. for Audit)</t>
        </is>
      </c>
      <c r="C5" s="2" t="inlineStr">
        <is>
          <t>ColorKey</t>
        </is>
      </c>
      <c r="D5" s="2" t="inlineStr">
        <is>
          <t>PrivateID</t>
        </is>
      </c>
      <c r="E5" s="2" t="inlineStr">
        <is>
          <t>Submitter</t>
        </is>
      </c>
      <c r="F5" s="2" t="inlineStr">
        <is>
          <t>Availability</t>
        </is>
      </c>
      <c r="G5" s="2" t="inlineStr">
        <is>
          <t>System</t>
        </is>
      </c>
      <c r="H5" s="2" t="inlineStr">
        <is>
          <t>Nodes</t>
        </is>
      </c>
      <c r="I5" s="2" t="inlineStr">
        <is>
          <t>Processor</t>
        </is>
      </c>
      <c r="J5" s="2" t="inlineStr">
        <is>
          <t>p#</t>
        </is>
      </c>
      <c r="K5" s="2" t="inlineStr">
        <is>
          <t>Accelerator</t>
        </is>
      </c>
      <c r="L5" s="2" t="inlineStr">
        <is>
          <t>a#</t>
        </is>
      </c>
      <c r="M5" s="2" t="inlineStr">
        <is>
          <t>Total Accelerators</t>
        </is>
      </c>
      <c r="N5" s="2" t="inlineStr">
        <is>
          <t>Software</t>
        </is>
      </c>
      <c r="O5" s="2" t="inlineStr">
        <is>
          <t>Notes</t>
        </is>
      </c>
      <c r="P5" s="2" t="inlineStr">
        <is>
          <t>UsedModel</t>
        </is>
      </c>
      <c r="Q5" s="2" t="inlineStr">
        <is>
          <t>Accuracy</t>
        </is>
      </c>
      <c r="R5" s="2" t="inlineStr">
        <is>
          <t>Details</t>
        </is>
      </c>
      <c r="S5" s="2" t="inlineStr">
        <is>
          <t>Code</t>
        </is>
      </c>
    </row>
    <row r="6">
      <c r="A6" s="2" t="inlineStr">
        <is>
          <t>6.1-0109</t>
        </is>
      </c>
      <c r="B6" s="2" t="inlineStr">
        <is>
          <t>datacenter/open/AMD/8xMI355X_2xEPYC_9575F/dlrm-v3</t>
        </is>
      </c>
      <c r="C6" s="2" t="inlineStr">
        <is>
          <t>availableAMD</t>
        </is>
      </c>
      <c r="D6" s="2" t="n"/>
      <c r="E6" s="2" t="inlineStr">
        <is>
          <t>AMD</t>
        </is>
      </c>
      <c r="F6" s="2" t="inlineStr">
        <is>
          <t>available</t>
        </is>
      </c>
      <c r="G6" s="2" t="inlineStr">
        <is>
          <t>8xMI355X_2xEPYC_9575F</t>
        </is>
      </c>
      <c r="H6" s="2" t="n">
        <v>1</v>
      </c>
      <c r="I6" s="2" t="inlineStr">
        <is>
          <t>AMD EPYC 9575F</t>
        </is>
      </c>
      <c r="J6" s="2" t="n">
        <v>2</v>
      </c>
      <c r="K6" s="2" t="inlineStr">
        <is>
          <t>AMD Instinct MI355X</t>
        </is>
      </c>
      <c r="L6" s="2" t="n">
        <v>8</v>
      </c>
      <c r="M6" s="2" t="n">
        <v>8</v>
      </c>
      <c r="N6" s="2" t="inlineStr">
        <is>
          <t>PyTorch 2.10.0+rocm7.2.3.git1a270074, Triton 3.6.0, ROCm 7.2.3</t>
        </is>
      </c>
      <c r="O6" s="2" t="inlineStr">
        <is>
          <t>Measured on current chi2810-class host reporting hostname chi2878: 8x MI355X / 2x EPYC 9575F, 256 online CPUs, SMT enabled, CPU governor performance. Known-good host KMD floor: amdgpu 6.16.6 or newer.. DLRM-v3 ROCm C1-on stack: HSTU sliding-window attention (window 1024), batch 64, degree-5 SiLU gate, uniform-target metadata, and FP8 quantization. MLPerf Inference v6.1 seeds with LoadGen 6.0.17. Server target 16,200 q/s; Offline target 17,000 q/s.</t>
        </is>
      </c>
      <c r="P6" s="2" t="inlineStr">
        <is>
          <t>dlrm-v3</t>
        </is>
      </c>
      <c r="Q6" s="2" t="inlineStr">
        <is>
          <t>DLRM_NE: 0.8678772746839061  DLRM_ACC: 0.6962803331970739  DLRM_AUC: 0.7861629372250531</t>
        </is>
      </c>
      <c r="R6" s="2">
        <f>HYPERLINK("https://github.com/mlcommons/submissions_inference_v6.0/tree/main/open/AMD/results/8xMI355X_2xEPYC_9575F","details")</f>
        <v/>
      </c>
      <c r="S6" s="2">
        <f>HYPERLINK("https://github.com/mlcommons/submissions_inference_v6.0/tree/main/open/AMD/src","code")</f>
        <v/>
      </c>
      <c r="T6" s="1" t="n">
        <v>16194.4</v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2" t="inlineStr">
        <is>
          <t>DLRM_NE: 0.8678795984098008  DLRM_ACC: 0.6962884623080815  DLRM_AUC: 0.7861666437936649</t>
        </is>
      </c>
      <c r="R7" s="2">
        <f>HYPERLINK("https://github.com/mlcommons/submissions_inference_v6.0/tree/main/open/AMD/results/8xMI355X_2xEPYC_9575F","details")</f>
        <v/>
      </c>
      <c r="S7" s="2">
        <f>HYPERLINK("https://github.com/mlcommons/submissions_inference_v6.0/tree/main/open/AMD/src","code")</f>
        <v/>
      </c>
      <c r="U7" s="1" t="n">
        <v>16363</v>
      </c>
    </row>
    <row r="8">
      <c r="A8" s="2" t="inlineStr">
        <is>
          <t>6.1-0110</t>
        </is>
      </c>
      <c r="B8" s="2" t="inlineStr">
        <is>
          <t>datacenter/open/HPE/HPE_GB200-NVL72_GB200-186GB_aarch64x16_TRT/deepseek-r1</t>
        </is>
      </c>
      <c r="C8" s="2" t="inlineStr">
        <is>
          <t>availableHPE</t>
        </is>
      </c>
      <c r="D8" s="2" t="n"/>
      <c r="E8" s="2" t="inlineStr">
        <is>
          <t>HPE</t>
        </is>
      </c>
      <c r="F8" s="2" t="inlineStr">
        <is>
          <t>available</t>
        </is>
      </c>
      <c r="G8" s="2" t="inlineStr">
        <is>
          <t>NVIDIA GB200 NVL72 by HPE (16x GB200-186GB_aarch64, TensorRT)</t>
        </is>
      </c>
      <c r="H8" s="2" t="n">
        <v>4</v>
      </c>
      <c r="I8" s="2" t="inlineStr">
        <is>
          <t>NVIDIA Grace CPU (Arm Neoverse-V2)</t>
        </is>
      </c>
      <c r="J8" s="2" t="n">
        <v>2</v>
      </c>
      <c r="K8" s="2" t="inlineStr">
        <is>
          <t>NVIDIA GB200</t>
        </is>
      </c>
      <c r="L8" s="2" t="n">
        <v>4</v>
      </c>
      <c r="M8" s="2" t="n">
        <v>16</v>
      </c>
      <c r="N8" s="2" t="inlineStr">
        <is>
          <t>TensorRT 10.14, CUDA 13.1, TensorRT-LLM 1.3.0rc0</t>
        </is>
      </c>
      <c r="O8" s="2" t="inlineStr">
        <is>
          <t>NVIDIA GB200 NVL72 platform by HPE; 1200 W GPU power limit. Two dep8 replicas across four nodes; CentML DeepSeek-R1 NVFP4 v2 checkpoint</t>
        </is>
      </c>
      <c r="P8" s="2" t="inlineStr">
        <is>
          <t>deepseek-r1</t>
        </is>
      </c>
      <c r="Q8" s="2" t="inlineStr">
        <is>
          <t>exact_match: 81.38103919781221  TOKENS_PER_SAMPLE: 3823.224020054695</t>
        </is>
      </c>
      <c r="R8" s="2">
        <f>HYPERLINK("https://github.com/mlcommons/submissions_inference_v6.0/tree/main/open/HPE/results/HPE_GB200-NVL72_GB200-186GB_aarch64x16_TRT","details")</f>
        <v/>
      </c>
      <c r="S8" s="2">
        <f>HYPERLINK("https://github.com/mlcommons/submissions_inference_v6.0/tree/main/open/HPE/src","code")</f>
        <v/>
      </c>
      <c r="Y8" s="1" t="n">
        <v>126223</v>
      </c>
    </row>
    <row r="9">
      <c r="A9" s="2" t="inlineStr">
        <is>
          <t>6.1-0111</t>
        </is>
      </c>
      <c r="B9" s="2" t="inlineStr">
        <is>
          <t>datacenter/open/HPE/HPE_GB200-NVL72_GB200-186GB_aarch64x32_TRT/deepseek-r1</t>
        </is>
      </c>
      <c r="C9" s="2" t="inlineStr">
        <is>
          <t>availableHPE</t>
        </is>
      </c>
      <c r="D9" s="2" t="n"/>
      <c r="E9" s="2" t="inlineStr">
        <is>
          <t>HPE</t>
        </is>
      </c>
      <c r="F9" s="2" t="inlineStr">
        <is>
          <t>available</t>
        </is>
      </c>
      <c r="G9" s="2" t="inlineStr">
        <is>
          <t>NVIDIA GB200 NVL72 by HPE (32x GB200-186GB_aarch64, TensorRT)</t>
        </is>
      </c>
      <c r="H9" s="2" t="n">
        <v>8</v>
      </c>
      <c r="I9" s="2" t="inlineStr">
        <is>
          <t>NVIDIA Grace CPU (Arm Neoverse-V2)</t>
        </is>
      </c>
      <c r="J9" s="2" t="n">
        <v>2</v>
      </c>
      <c r="K9" s="2" t="inlineStr">
        <is>
          <t>NVIDIA GB200</t>
        </is>
      </c>
      <c r="L9" s="2" t="n">
        <v>4</v>
      </c>
      <c r="M9" s="2" t="n">
        <v>32</v>
      </c>
      <c r="N9" s="2" t="inlineStr">
        <is>
          <t>TensorRT 10.14, CUDA 13.1, TensorRT-LLM 1.3.0rc0</t>
        </is>
      </c>
      <c r="O9" s="2" t="inlineStr">
        <is>
          <t>NVIDIA GB200 NVL72 platform by HPE; 1200 W GPU power limit. Four dep8 replicas across eight nodes; CentML DeepSeek-R1 NVFP4 v2 checkpoint</t>
        </is>
      </c>
      <c r="P9" s="2" t="inlineStr">
        <is>
          <t>deepseek-r1</t>
        </is>
      </c>
      <c r="Q9" s="2" t="inlineStr">
        <is>
          <t>exact_match: 81.8824065633546  TOKENS_PER_SAMPLE: 3798.4737921604374</t>
        </is>
      </c>
      <c r="R9" s="2">
        <f>HYPERLINK("https://github.com/mlcommons/submissions_inference_v6.0/tree/main/open/HPE/results/HPE_GB200-NVL72_GB200-186GB_aarch64x32_TRT","details")</f>
        <v/>
      </c>
      <c r="S9" s="2">
        <f>HYPERLINK("https://github.com/mlcommons/submissions_inference_v6.0/tree/main/open/HPE/src","code")</f>
        <v/>
      </c>
      <c r="Y9" s="1" t="n">
        <v>245352</v>
      </c>
    </row>
    <row r="10">
      <c r="A10" s="2" t="inlineStr">
        <is>
          <t>6.1-0112</t>
        </is>
      </c>
      <c r="B10" s="2" t="inlineStr">
        <is>
          <t>datacenter/open/HPE/HPE_GB200-NVL72_GB200-186GB_aarch64x56_TRT/deepseek-r1</t>
        </is>
      </c>
      <c r="C10" s="2" t="inlineStr">
        <is>
          <t>availableHPE</t>
        </is>
      </c>
      <c r="D10" s="2" t="n"/>
      <c r="E10" s="2" t="inlineStr">
        <is>
          <t>HPE</t>
        </is>
      </c>
      <c r="F10" s="2" t="inlineStr">
        <is>
          <t>available</t>
        </is>
      </c>
      <c r="G10" s="2" t="inlineStr">
        <is>
          <t>NVIDIA GB200 NVL72 by HPE (56x GB200-186GB_aarch64, TensorRT)</t>
        </is>
      </c>
      <c r="H10" s="2" t="n">
        <v>14</v>
      </c>
      <c r="I10" s="2" t="inlineStr">
        <is>
          <t>NVIDIA Grace CPU (Arm Neoverse-V2)</t>
        </is>
      </c>
      <c r="J10" s="2" t="n">
        <v>2</v>
      </c>
      <c r="K10" s="2" t="inlineStr">
        <is>
          <t>NVIDIA GB200</t>
        </is>
      </c>
      <c r="L10" s="2" t="n">
        <v>4</v>
      </c>
      <c r="M10" s="2" t="n">
        <v>56</v>
      </c>
      <c r="N10" s="2" t="inlineStr">
        <is>
          <t>TensorRT 10.14, CUDA 13.1, TensorRT-LLM 1.3.0rc0</t>
        </is>
      </c>
      <c r="O10" s="2" t="inlineStr">
        <is>
          <t>NVIDIA GB200 NVL72 platform by HPE; 1200 W GPU power limit. The LoadGen task shares one inference node CPU allocation and is not an additional SUT node.. Seven dep8 replicas across fourteen inference nodes; CentML DeepSeek-R1 NVFP4 v2 checkpoint</t>
        </is>
      </c>
      <c r="P10" s="2" t="inlineStr">
        <is>
          <t>deepseek-r1</t>
        </is>
      </c>
      <c r="Q10" s="2" t="inlineStr">
        <is>
          <t>exact_match: 80.9936189608022  TOKENS_PER_SAMPLE: 3836.976071103008</t>
        </is>
      </c>
      <c r="R10" s="2">
        <f>HYPERLINK("https://github.com/mlcommons/submissions_inference_v6.0/tree/main/open/HPE/results/HPE_GB200-NVL72_GB200-186GB_aarch64x56_TRT","details")</f>
        <v/>
      </c>
      <c r="S10" s="2">
        <f>HYPERLINK("https://github.com/mlcommons/submissions_inference_v6.0/tree/main/open/HPE/src","code")</f>
        <v/>
      </c>
      <c r="Y10" s="1" t="n">
        <v>336125</v>
      </c>
    </row>
    <row r="11">
      <c r="A11" s="2" t="inlineStr">
        <is>
          <t>6.1-0113</t>
        </is>
      </c>
      <c r="B11" s="2" t="inlineStr">
        <is>
          <t>datacenter/open/HPE/HPE_XD690_B300_SXM_270GBx8_TRT_open/deepseek-r1</t>
        </is>
      </c>
      <c r="C11" s="2" t="inlineStr">
        <is>
          <t>availableHPE</t>
        </is>
      </c>
      <c r="D11" s="2" t="n"/>
      <c r="E11" s="2" t="inlineStr">
        <is>
          <t>HPE</t>
        </is>
      </c>
      <c r="F11" s="2" t="inlineStr">
        <is>
          <t>available</t>
        </is>
      </c>
      <c r="G11" s="2" t="inlineStr">
        <is>
          <t>HPE Compute XD690 (8x NVIDIA B300-SXM-270GB, TensorRT)</t>
        </is>
      </c>
      <c r="H11" s="2" t="n">
        <v>1</v>
      </c>
      <c r="I11" s="2" t="inlineStr">
        <is>
          <t>Intel(R) Xeon(R) 6776P</t>
        </is>
      </c>
      <c r="J11" s="2" t="n">
        <v>2</v>
      </c>
      <c r="K11" s="2" t="inlineStr">
        <is>
          <t>NVIDIA B300-SXM-270GB</t>
        </is>
      </c>
      <c r="L11" s="2" t="n">
        <v>8</v>
      </c>
      <c r="M11" s="2" t="n">
        <v>8</v>
      </c>
      <c r="N11" s="2" t="inlineStr">
        <is>
          <t>TensorRT 10.14, CUDA 13.2</t>
        </is>
      </c>
      <c r="O11" s="2" t="inlineStr">
        <is>
          <t>B300 TGP 1100W</t>
        </is>
      </c>
      <c r="P11" s="2" t="inlineStr">
        <is>
          <t>deepseek-r1</t>
        </is>
      </c>
      <c r="Q11" s="2" t="inlineStr">
        <is>
          <t>exact_match: 81.08477666362808  TOKENS_PER_SAMPLE: 3818.841841385597</t>
        </is>
      </c>
      <c r="R11" s="2">
        <f>HYPERLINK("https://github.com/mlcommons/submissions_inference_v6.0/tree/main/open/HPE/results/HPE_XD690_B300_SXM_270GBx8_TRT_open","details")</f>
        <v/>
      </c>
      <c r="S11" s="2">
        <f>HYPERLINK("https://github.com/mlcommons/submissions_inference_v6.0/tree/main/open/HPE/src","code")</f>
        <v/>
      </c>
      <c r="Y11" s="1" t="n">
        <v>71053.39999999999</v>
      </c>
    </row>
    <row r="12">
      <c r="A12" s="2" t="inlineStr">
        <is>
          <t>6.1-0116</t>
        </is>
      </c>
      <c r="B12" s="2" t="inlineStr">
        <is>
          <t>datacenter/open/Krai/h200/qwen3-vl-235b-a22b</t>
        </is>
      </c>
      <c r="C12" s="2" t="inlineStr">
        <is>
          <t>availableKrai</t>
        </is>
      </c>
      <c r="D12" s="2" t="n"/>
      <c r="E12" s="2" t="inlineStr">
        <is>
          <t>Krai</t>
        </is>
      </c>
      <c r="F12" s="2" t="inlineStr">
        <is>
          <t>available</t>
        </is>
      </c>
      <c r="G12" s="2" t="inlineStr">
        <is>
          <t>HPE Cray XD670 (8x H200-SXM-141GB, Krai/Gentic)</t>
        </is>
      </c>
      <c r="H12" s="2" t="n">
        <v>1</v>
      </c>
      <c r="I12" s="2" t="inlineStr">
        <is>
          <t>Intel(R) Xeon(R) Platinum 8562Y+</t>
        </is>
      </c>
      <c r="J12" s="2" t="n">
        <v>2</v>
      </c>
      <c r="K12" s="2" t="inlineStr">
        <is>
          <t>NVIDIA H200-SXM-141GB</t>
        </is>
      </c>
      <c r="L12" s="2" t="n">
        <v>8</v>
      </c>
      <c r="M12" s="2" t="n">
        <v>8</v>
      </c>
      <c r="N12" s="2" t="inlineStr">
        <is>
          <t>Krai/Gentic</t>
        </is>
      </c>
      <c r="O12" s="2" t="inlineStr">
        <is>
          <t>Powered by Krai/Gentic, next-gen automation</t>
        </is>
      </c>
      <c r="P12" s="2" t="inlineStr">
        <is>
          <t>qwen3-vl-235b-a22b</t>
        </is>
      </c>
      <c r="Q12" s="2" t="inlineStr">
        <is>
          <t>0.7878368975913989</t>
        </is>
      </c>
      <c r="R12" s="2">
        <f>HYPERLINK("https://github.com/mlcommons/submissions_inference_v6.0/tree/main/open/Krai/results/h200","details")</f>
        <v/>
      </c>
      <c r="S12" s="2">
        <f>HYPERLINK("https://github.com/mlcommons/submissions_inference_v6.0/tree/main/open/Krai/src","code")</f>
        <v/>
      </c>
      <c r="Z12" s="1" t="n">
        <v>9.221680429087034</v>
      </c>
    </row>
    <row r="13">
      <c r="A13" s="2" t="inlineStr">
        <is>
          <t>6.1-0118</t>
        </is>
      </c>
      <c r="B13" s="2" t="inlineStr">
        <is>
          <t>datacenter/open/ScitiX/B200-SXM-180GBx8_TRT/deepseek-r1</t>
        </is>
      </c>
      <c r="C13" s="2" t="inlineStr">
        <is>
          <t>availableScitiX</t>
        </is>
      </c>
      <c r="D13" s="2" t="n"/>
      <c r="E13" s="2" t="inlineStr">
        <is>
          <t>ScitiX</t>
        </is>
      </c>
      <c r="F13" s="2" t="inlineStr">
        <is>
          <t>available</t>
        </is>
      </c>
      <c r="G13" s="2" t="inlineStr">
        <is>
          <t>ScitiX B200 (8x B200-SXM-180GB, TensorRT-LLM)</t>
        </is>
      </c>
      <c r="H13" s="2" t="n">
        <v>1</v>
      </c>
      <c r="I13" s="2" t="inlineStr">
        <is>
          <t>Intel(R) Xeon(R) 6767P</t>
        </is>
      </c>
      <c r="J13" s="2" t="n">
        <v>2</v>
      </c>
      <c r="K13" s="2" t="inlineStr">
        <is>
          <t>NVIDIA B200-SXM-180GB</t>
        </is>
      </c>
      <c r="L13" s="2" t="n">
        <v>8</v>
      </c>
      <c r="M13" s="2" t="n">
        <v>8</v>
      </c>
      <c r="N13" s="2" t="inlineStr">
        <is>
          <t>TensorRT-LLM 1.3.0rc0, CUDA 13.1</t>
        </is>
      </c>
      <c r="O13" s="2" t="inlineStr">
        <is>
          <t>Closed division; DeepSeek-R1 NVFP4 weights + FP8 KV; aggregated 8-GPU TP=8 with MTP (num_nextn_predict_layers=1) speculative decoding</t>
        </is>
      </c>
      <c r="P13" s="2" t="inlineStr">
        <is>
          <t>deepseek-r1</t>
        </is>
      </c>
      <c r="Q13" s="2" t="inlineStr">
        <is>
          <t>exact_match: 81.17593436645396  TOKENS_PER_SAMPLE: 3739.3393345487693</t>
        </is>
      </c>
      <c r="R13" s="2">
        <f>HYPERLINK("https://github.com/mlcommons/submissions_inference_v6.0/tree/main/open/ScitiX/results/B200-SXM-180GBx8_TRT","details")</f>
        <v/>
      </c>
      <c r="S13" s="2">
        <f>HYPERLINK("https://github.com/mlcommons/submissions_inference_v6.0/tree/main/open/ScitiX/src","code")</f>
        <v/>
      </c>
      <c r="X13" s="1" t="n">
        <v>59668.3</v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2" t="inlineStr">
        <is>
          <t>exact_match: 81.70009115770283  TOKENS_PER_SAMPLE: 3727.5230173199634</t>
        </is>
      </c>
      <c r="R14" s="2">
        <f>HYPERLINK("https://github.com/mlcommons/submissions_inference_v6.0/tree/main/open/ScitiX/results/B200-SXM-180GBx8_TRT","details")</f>
        <v/>
      </c>
      <c r="S14" s="2">
        <f>HYPERLINK("https://github.com/mlcommons/submissions_inference_v6.0/tree/main/open/ScitiX/src","code")</f>
        <v/>
      </c>
      <c r="Y14" s="1" t="n">
        <v>60410.9</v>
      </c>
    </row>
    <row r="15">
      <c r="A15" s="2" t="inlineStr">
        <is>
          <t>6.1-0119</t>
        </is>
      </c>
      <c r="B15" s="2" t="inlineStr">
        <is>
          <t>datacenter/open/Orrick Industries LLC/b200_6x/llama3.1-8b</t>
        </is>
      </c>
      <c r="C15" s="2" t="inlineStr">
        <is>
          <t>rdiOrrick Industries LLC</t>
        </is>
      </c>
      <c r="D15" s="2" t="n"/>
      <c r="E15" s="2" t="inlineStr">
        <is>
          <t>Orrick Industries LLC</t>
        </is>
      </c>
      <c r="F15" s="2" t="inlineStr">
        <is>
          <t>rdi</t>
        </is>
      </c>
      <c r="G15" s="2" t="inlineStr">
        <is>
          <t>Orrick Optimized 6x NVIDIA B200</t>
        </is>
      </c>
      <c r="H15" s="2" t="n">
        <v>1</v>
      </c>
      <c r="I15" s="2" t="inlineStr">
        <is>
          <t>INTEL(R) XEON(R) PLATINUM 8568Y+</t>
        </is>
      </c>
      <c r="J15" s="2" t="n">
        <v>2</v>
      </c>
      <c r="K15" s="2" t="inlineStr">
        <is>
          <t>NVIDIA B200-SXM-180GB</t>
        </is>
      </c>
      <c r="L15" s="2" t="n">
        <v>6</v>
      </c>
      <c r="M15" s="2" t="n">
        <v>6</v>
      </c>
      <c r="N15" s="2" t="inlineStr">
        <is>
          <t>TensorRT-LLM 1.3.0rc20</t>
        </is>
      </c>
      <c r="O15" s="2" t="inlineStr">
        <is>
          <t>6x NVIDIA B200, rented cloud instance. Orrick proprietary inference optimization. NVFP4 weights with FP8 KV cache. Implementation details are proprietary and not disclosed.</t>
        </is>
      </c>
      <c r="P15" s="2" t="inlineStr">
        <is>
          <t>llama3.1-8b</t>
        </is>
      </c>
      <c r="Q15" s="2" t="inlineStr">
        <is>
          <t>ROUGE1: 36.869  ROUGE2: 14.1535  ROUGEL: 23.5033  ROUGELSUM: 33.7502</t>
        </is>
      </c>
      <c r="R15" s="2">
        <f>HYPERLINK("https://github.com/mlcommons/submissions_inference_v6.0/tree/main/open/Orrick Industries LLC/results/b200_6x","details")</f>
        <v/>
      </c>
      <c r="S15" s="2">
        <f>HYPERLINK("https://github.com/mlcommons/submissions_inference_v6.0/tree/main/open/Orrick Industries LLC/src","code")</f>
        <v/>
      </c>
      <c r="V15" s="1" t="n">
        <v>274927</v>
      </c>
    </row>
    <row r="16">
      <c r="A16" s="2" t="inlineStr">
        <is>
          <t>6.1-0120</t>
        </is>
      </c>
      <c r="B16" s="2" t="inlineStr">
        <is>
          <t>datacenter/open/Orrick Industries LLC/b200_l2_6x/llama2-70b-99.9</t>
        </is>
      </c>
      <c r="C16" s="2" t="inlineStr">
        <is>
          <t>rdiOrrick Industries LLC</t>
        </is>
      </c>
      <c r="D16" s="2" t="n"/>
      <c r="E16" s="2" t="inlineStr">
        <is>
          <t>Orrick Industries LLC</t>
        </is>
      </c>
      <c r="F16" s="2" t="inlineStr">
        <is>
          <t>rdi</t>
        </is>
      </c>
      <c r="G16" s="2" t="inlineStr">
        <is>
          <t>Orrick Optimized 6x NVIDIA B200 L2</t>
        </is>
      </c>
      <c r="H16" s="2" t="n">
        <v>1</v>
      </c>
      <c r="I16" s="2" t="inlineStr">
        <is>
          <t>INTEL(R) XEON(R) PLATINUM 8568Y+</t>
        </is>
      </c>
      <c r="J16" s="2" t="n">
        <v>2</v>
      </c>
      <c r="K16" s="2" t="inlineStr">
        <is>
          <t>NVIDIA B200-SXM-180GB</t>
        </is>
      </c>
      <c r="L16" s="2" t="n">
        <v>6</v>
      </c>
      <c r="M16" s="2" t="n">
        <v>6</v>
      </c>
      <c r="N16" s="2" t="inlineStr">
        <is>
          <t>TensorRT-LLM 1.3.0rc20</t>
        </is>
      </c>
      <c r="O16" s="2" t="inlineStr">
        <is>
          <t>6x NVIDIA B200, rented cloud instance. Orrick proprietary inference optimization. NVFP4 weights with FP8 KV cache. Implementation details are proprietary and not disclosed.</t>
        </is>
      </c>
      <c r="P16" s="2" t="inlineStr">
        <is>
          <t>llama2-70b-99.9</t>
        </is>
      </c>
      <c r="Q16" s="2" t="inlineStr">
        <is>
          <t>ROUGE1: 41.797  ROUGE2: 19.7311  ROUGEL: 26.6864  TOKENS_PER_SAMPLE: 281.9</t>
        </is>
      </c>
      <c r="R16" s="2">
        <f>HYPERLINK("https://github.com/mlcommons/submissions_inference_v6.0/tree/main/open/Orrick Industries LLC/results/b200_l2_6x","details")</f>
        <v/>
      </c>
      <c r="S16" s="2">
        <f>HYPERLINK("https://github.com/mlcommons/submissions_inference_v6.0/tree/main/open/Orrick Industries LLC/src","code")</f>
        <v/>
      </c>
      <c r="W16" s="1" t="n">
        <v>130928</v>
      </c>
    </row>
  </sheetData>
  <mergeCells count="35">
    <mergeCell ref="J13:J14"/>
    <mergeCell ref="L13:L14"/>
    <mergeCell ref="X2:Y2"/>
    <mergeCell ref="E13:E14"/>
    <mergeCell ref="G13:G14"/>
    <mergeCell ref="H6:H7"/>
    <mergeCell ref="J6:J7"/>
    <mergeCell ref="P6:P7"/>
    <mergeCell ref="A6:A7"/>
    <mergeCell ref="F6:F7"/>
    <mergeCell ref="M13:M14"/>
    <mergeCell ref="B13:B14"/>
    <mergeCell ref="D13:D14"/>
    <mergeCell ref="G6:G7"/>
    <mergeCell ref="M6:M7"/>
    <mergeCell ref="E6:E7"/>
    <mergeCell ref="B6:B7"/>
    <mergeCell ref="F13:F14"/>
    <mergeCell ref="H13:H14"/>
    <mergeCell ref="N13:N14"/>
    <mergeCell ref="T2:U2"/>
    <mergeCell ref="P13:P14"/>
    <mergeCell ref="A13:A14"/>
    <mergeCell ref="I13:I14"/>
    <mergeCell ref="K13:K14"/>
    <mergeCell ref="L6:L7"/>
    <mergeCell ref="N6:N7"/>
    <mergeCell ref="C13:C14"/>
    <mergeCell ref="O13:O14"/>
    <mergeCell ref="I6:I7"/>
    <mergeCell ref="K6:K7"/>
    <mergeCell ref="C6:C7"/>
    <mergeCell ref="O6:O7"/>
    <mergeCell ref="D6:D7"/>
    <mergeCell ref="T1:Z1"/>
  </mergeCells>
  <conditionalFormatting sqref="A6:CW201">
    <cfRule type="expression" priority="1" dxfId="0">
      <formula>mod(countunique($c$6:$c6), 2) = 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cols>
    <col hidden="1" min="2" max="3"/>
    <col width="9.140625" customWidth="1" style="1" min="18" max="101"/>
  </cols>
  <sheetData>
    <row r="1">
      <c r="S1" s="2" t="n"/>
      <c r="T1" s="2" t="inlineStr">
        <is>
          <t>Result</t>
        </is>
      </c>
      <c r="U1" s="3" t="n"/>
      <c r="V1" s="3" t="n"/>
      <c r="W1" s="3" t="n"/>
      <c r="X1" s="4" t="n"/>
    </row>
    <row r="2">
      <c r="S2" s="2" t="inlineStr">
        <is>
          <t>Model</t>
        </is>
      </c>
      <c r="T2" s="2" t="inlineStr">
        <is>
          <t>resnet</t>
        </is>
      </c>
      <c r="U2" s="4" t="n"/>
      <c r="V2" s="2" t="inlineStr">
        <is>
          <t>llama3.1-8b-edge</t>
        </is>
      </c>
      <c r="W2" s="4" t="n"/>
      <c r="X2" s="2" t="inlineStr">
        <is>
          <t>agentic edge</t>
        </is>
      </c>
    </row>
    <row r="3">
      <c r="S3" s="2" t="inlineStr">
        <is>
          <t>Scenario</t>
        </is>
      </c>
      <c r="T3" s="2" t="inlineStr">
        <is>
          <t>SingleStream</t>
        </is>
      </c>
      <c r="U3" s="2" t="inlineStr">
        <is>
          <t>MultiStream</t>
        </is>
      </c>
      <c r="V3" s="2" t="inlineStr">
        <is>
          <t>SingleStream</t>
        </is>
      </c>
      <c r="W3" s="2" t="inlineStr">
        <is>
          <t>Offline</t>
        </is>
      </c>
      <c r="X3" s="2" t="inlineStr">
        <is>
          <t>SingleStream</t>
        </is>
      </c>
    </row>
    <row r="4">
      <c r="S4" s="2" t="inlineStr">
        <is>
          <t>Units</t>
        </is>
      </c>
      <c r="T4" s="2" t="inlineStr">
        <is>
          <t>Latency (ms)</t>
        </is>
      </c>
      <c r="U4" s="2" t="inlineStr">
        <is>
          <t>Latency (ms)</t>
        </is>
      </c>
      <c r="V4" s="2" t="inlineStr">
        <is>
          <t>Latency (ms)</t>
        </is>
      </c>
      <c r="W4" s="2" t="inlineStr">
        <is>
          <t>Tokens/s</t>
        </is>
      </c>
      <c r="X4" s="2" t="inlineStr">
        <is>
          <t>Latency (ms)</t>
        </is>
      </c>
    </row>
    <row r="5">
      <c r="A5" s="2" t="inlineStr">
        <is>
          <t>ID</t>
        </is>
      </c>
      <c r="B5" s="2" t="inlineStr">
        <is>
          <t>Unique ID (e.g. for Audit)</t>
        </is>
      </c>
      <c r="C5" s="2" t="inlineStr">
        <is>
          <t>ColorKey</t>
        </is>
      </c>
      <c r="D5" s="2" t="inlineStr">
        <is>
          <t>PrivateID</t>
        </is>
      </c>
      <c r="E5" s="2" t="inlineStr">
        <is>
          <t>Submitter</t>
        </is>
      </c>
      <c r="F5" s="2" t="inlineStr">
        <is>
          <t>Availability</t>
        </is>
      </c>
      <c r="G5" s="2" t="inlineStr">
        <is>
          <t>System</t>
        </is>
      </c>
      <c r="H5" s="2" t="inlineStr">
        <is>
          <t>Nodes</t>
        </is>
      </c>
      <c r="I5" s="2" t="inlineStr">
        <is>
          <t>Processor</t>
        </is>
      </c>
      <c r="J5" s="2" t="inlineStr">
        <is>
          <t>p#</t>
        </is>
      </c>
      <c r="K5" s="2" t="inlineStr">
        <is>
          <t>Accelerator</t>
        </is>
      </c>
      <c r="L5" s="2" t="inlineStr">
        <is>
          <t>a#</t>
        </is>
      </c>
      <c r="M5" s="2" t="inlineStr">
        <is>
          <t>Total Accelerators</t>
        </is>
      </c>
      <c r="N5" s="2" t="inlineStr">
        <is>
          <t>Software</t>
        </is>
      </c>
      <c r="O5" s="2" t="inlineStr">
        <is>
          <t>Notes</t>
        </is>
      </c>
      <c r="P5" s="2" t="inlineStr">
        <is>
          <t>UsedModel</t>
        </is>
      </c>
      <c r="Q5" s="2" t="inlineStr">
        <is>
          <t>Accuracy</t>
        </is>
      </c>
      <c r="R5" s="2" t="inlineStr">
        <is>
          <t>Details</t>
        </is>
      </c>
      <c r="S5" s="2" t="inlineStr">
        <is>
          <t>Code</t>
        </is>
      </c>
    </row>
    <row r="6">
      <c r="A6" s="2" t="inlineStr">
        <is>
          <t>6.1-0114</t>
        </is>
      </c>
      <c r="B6" s="2" t="inlineStr">
        <is>
          <t>edge/open/HPE/HPE_PROLIANT_DL345_GEN12_RTX_PRO_4500_PCIE_32GBx4_TRT_open/llama3.1-8b-edge</t>
        </is>
      </c>
      <c r="C6" s="2" t="inlineStr">
        <is>
          <t>availableHPE</t>
        </is>
      </c>
      <c r="D6" s="2" t="n"/>
      <c r="E6" s="2" t="inlineStr">
        <is>
          <t>HPE</t>
        </is>
      </c>
      <c r="F6" s="2" t="inlineStr">
        <is>
          <t>available</t>
        </is>
      </c>
      <c r="G6" s="2" t="inlineStr">
        <is>
          <t>HPE ProLiant DL345 Gen12 (4x NVIDIA RTX PRO 4500 Blackwell-PCIe-32GB, TensorRT)</t>
        </is>
      </c>
      <c r="H6" s="2" t="n">
        <v>1</v>
      </c>
      <c r="I6" s="2" t="inlineStr">
        <is>
          <t>AMD EPYC 9375F 32-Core Processor</t>
        </is>
      </c>
      <c r="J6" s="2" t="n">
        <v>1</v>
      </c>
      <c r="K6" s="2" t="inlineStr">
        <is>
          <t>NVIDIA RTX PRO 4500 Blackwell-PCIe-32GB</t>
        </is>
      </c>
      <c r="L6" s="2" t="n">
        <v>4</v>
      </c>
      <c r="M6" s="2" t="n">
        <v>4</v>
      </c>
      <c r="N6" s="2" t="inlineStr">
        <is>
          <t>TensorRT 10.15.1.29, CUDA 13.2</t>
        </is>
      </c>
      <c r="O6" s="2" t="n"/>
      <c r="P6" s="2" t="inlineStr">
        <is>
          <t>llama3.1-8b-edge</t>
        </is>
      </c>
      <c r="Q6" s="2" t="inlineStr">
        <is>
          <t>ROUGE1: 38.7883  ROUGE2: 16.056  ROUGEL: 24.5055  ROUGELSUM: 35.724  GEN_LEN: 8183134</t>
        </is>
      </c>
      <c r="R6" s="2">
        <f>HYPERLINK("https://github.com/mlcommons/submissions_inference_v6.0/tree/main/open/HPE/results/HPE_PROLIANT_DL345_GEN12_RTX_PRO_4500_PCIE_32GBx4_TRT_open","details")</f>
        <v/>
      </c>
      <c r="S6" s="2">
        <f>HYPERLINK("https://github.com/mlcommons/submissions_inference_v6.0/tree/main/open/HPE/src","code")</f>
        <v/>
      </c>
      <c r="V6" s="1" t="n">
        <v>1203.785699</v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2" t="inlineStr">
        <is>
          <t>ROUGE1: 38.7947  ROUGE2: 16.0822  ROUGEL: 24.5817  ROUGELSUM: 35.7134  GEN_LEN: 8173143</t>
        </is>
      </c>
      <c r="R7" s="2">
        <f>HYPERLINK("https://github.com/mlcommons/submissions_inference_v6.0/tree/main/open/HPE/results/HPE_PROLIANT_DL345_GEN12_RTX_PRO_4500_PCIE_32GBx4_TRT_open","details")</f>
        <v/>
      </c>
      <c r="S7" s="2">
        <f>HYPERLINK("https://github.com/mlcommons/submissions_inference_v6.0/tree/main/open/HPE/src","code")</f>
        <v/>
      </c>
      <c r="W7" s="1" t="n">
        <v>9557.690000000001</v>
      </c>
    </row>
    <row r="8">
      <c r="A8" s="2" t="inlineStr">
        <is>
          <t>6.1-0115</t>
        </is>
      </c>
      <c r="B8" s="2" t="inlineStr">
        <is>
          <t>edge/open/HPE/HPE_PROLIANT_DL380_RTX_PRO_4500_PCIE_32GBx1_TRT_open/resnet50</t>
        </is>
      </c>
      <c r="C8" s="2" t="inlineStr">
        <is>
          <t>availableHPE</t>
        </is>
      </c>
      <c r="D8" s="2" t="n"/>
      <c r="E8" s="2" t="inlineStr">
        <is>
          <t>HPE</t>
        </is>
      </c>
      <c r="F8" s="2" t="inlineStr">
        <is>
          <t>available</t>
        </is>
      </c>
      <c r="G8" s="2" t="inlineStr">
        <is>
          <t>HPE ProLiant Compute DL380 Gen12 (1x NVIDIA RTX PRO 4500 Blackwell-PCIe-32GB)</t>
        </is>
      </c>
      <c r="H8" s="2" t="n">
        <v>1</v>
      </c>
      <c r="I8" s="2" t="inlineStr">
        <is>
          <t>Intel(R) Xeon(R) 6762P</t>
        </is>
      </c>
      <c r="J8" s="2" t="n">
        <v>2</v>
      </c>
      <c r="K8" s="2" t="inlineStr">
        <is>
          <t>NVIDIA RTX PRO 4500 Blackwell-PCIe-32GB</t>
        </is>
      </c>
      <c r="L8" s="2" t="n">
        <v>1</v>
      </c>
      <c r="M8" s="2" t="n">
        <v>1</v>
      </c>
      <c r="N8" s="2" t="inlineStr">
        <is>
          <t>ONNX Runtime v1.28.0</t>
        </is>
      </c>
      <c r="O8" s="2" t="n"/>
      <c r="P8" s="2" t="inlineStr">
        <is>
          <t>resnet50</t>
        </is>
      </c>
      <c r="Q8" s="2" t="inlineStr">
        <is>
          <t>acc: 77.536</t>
        </is>
      </c>
      <c r="R8" s="2">
        <f>HYPERLINK("https://github.com/mlcommons/submissions_inference_v6.0/tree/main/open/HPE/results/HPE_PROLIANT_DL380_RTX_PRO_4500_PCIE_32GBx1_TRT_open","details")</f>
        <v/>
      </c>
      <c r="S8" s="2">
        <f>HYPERLINK("https://github.com/mlcommons/submissions_inference_v6.0/tree/main/open/HPE/src","code")</f>
        <v/>
      </c>
      <c r="T8" s="1" t="n">
        <v>1.480867</v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2" t="inlineStr">
        <is>
          <t>acc: 77.805</t>
        </is>
      </c>
      <c r="R9" s="2">
        <f>HYPERLINK("https://github.com/mlcommons/submissions_inference_v6.0/tree/main/open/HPE/results/HPE_PROLIANT_DL380_RTX_PRO_4500_PCIE_32GBx1_TRT_open","details")</f>
        <v/>
      </c>
      <c r="S9" s="2">
        <f>HYPERLINK("https://github.com/mlcommons/submissions_inference_v6.0/tree/main/open/HPE/src","code")</f>
        <v/>
      </c>
      <c r="U9" s="1" t="n">
        <v>5.030642</v>
      </c>
    </row>
    <row r="10">
      <c r="A10" s="2" t="inlineStr">
        <is>
          <t>6.1-0117</t>
        </is>
      </c>
      <c r="B10" s="2" t="inlineStr">
        <is>
          <t>edge/open/Lambda/B200-SXM-180GBx8_SGLANG/qwen3.6-27b</t>
        </is>
      </c>
      <c r="C10" s="2" t="inlineStr">
        <is>
          <t>availableLambda</t>
        </is>
      </c>
      <c r="D10" s="2" t="n"/>
      <c r="E10" s="2" t="inlineStr">
        <is>
          <t>Lambda</t>
        </is>
      </c>
      <c r="F10" s="2" t="inlineStr">
        <is>
          <t>available</t>
        </is>
      </c>
      <c r="G10" s="2" t="inlineStr">
        <is>
          <t>Lambda 8x B200-SXM-180GB (SGLang, Kimi-K2.6 edge-agentic / BFCL v4)</t>
        </is>
      </c>
      <c r="H10" s="2" t="n">
        <v>1</v>
      </c>
      <c r="I10" s="2" t="inlineStr">
        <is>
          <t>Intel(R) Xeon(R) Platinum 8570</t>
        </is>
      </c>
      <c r="J10" s="2" t="n">
        <v>2</v>
      </c>
      <c r="K10" s="2" t="inlineStr">
        <is>
          <t>NVIDIA B200-SXM-180GB</t>
        </is>
      </c>
      <c r="L10" s="2" t="n">
        <v>8</v>
      </c>
      <c r="M10" s="2" t="n">
        <v>8</v>
      </c>
      <c r="N10" s="2" t="inlineStr">
        <is>
          <t>SGLang 0.5.15.post1, CUDA 13.0</t>
        </is>
      </c>
      <c r="O10" s="2" t="inlineStr">
        <is>
          <t>8x B200-SXM-180GB (Blackwell). OPEN division. Model = moonshotai/Kimi-K2.6 (kimi_k25, fp8), served with SGLang TP=8 on 8x B200, reasoning disabled (chat_template thinking=false, the reference 'reasoning off' analog). Workload = the MLPerf edge-agentic reference (mlcommons/endpoints example 11_Edge_Agentic_Example): BFCL v4 single-turn function-calling accuracy + agentic-coding inline-checker performance replay, all reference invariants unchanged (temperature 0, max_new_tokens 1024, single-stream). Benchmark labeled kimi-k2.6-edge-agentic. All metrics are Kimi-K2.6's real measured numbers.</t>
        </is>
      </c>
      <c r="P10" s="2" t="inlineStr">
        <is>
          <t>qwen3.6-27b</t>
        </is>
      </c>
      <c r="Q10" s="2" t="inlineStr">
        <is>
          <t>0.8683417085427135</t>
        </is>
      </c>
      <c r="R10" s="2">
        <f>HYPERLINK("https://github.com/mlcommons/submissions_inference_v6.0/tree/main/open/Lambda/results/B200-SXM-180GBx8_SGLANG","details")</f>
        <v/>
      </c>
      <c r="S10" s="2">
        <f>HYPERLINK("https://github.com/mlcommons/submissions_inference_v6.0/tree/main/open/Lambda/src","code")</f>
        <v/>
      </c>
      <c r="X10" s="1" t="n">
        <v>770.827765960278</v>
      </c>
    </row>
  </sheetData>
  <mergeCells count="35">
    <mergeCell ref="V2:W2"/>
    <mergeCell ref="E8:E9"/>
    <mergeCell ref="G8:G9"/>
    <mergeCell ref="H6:H7"/>
    <mergeCell ref="B8:B9"/>
    <mergeCell ref="J6:J7"/>
    <mergeCell ref="P6:P7"/>
    <mergeCell ref="A6:A7"/>
    <mergeCell ref="F8:F9"/>
    <mergeCell ref="L8:L9"/>
    <mergeCell ref="N8:N9"/>
    <mergeCell ref="P8:P9"/>
    <mergeCell ref="G6:G7"/>
    <mergeCell ref="M6:M7"/>
    <mergeCell ref="E6:E7"/>
    <mergeCell ref="B6:B7"/>
    <mergeCell ref="A8:A9"/>
    <mergeCell ref="T2:U2"/>
    <mergeCell ref="C8:C9"/>
    <mergeCell ref="I8:I9"/>
    <mergeCell ref="K8:K9"/>
    <mergeCell ref="M8:M9"/>
    <mergeCell ref="O8:O9"/>
    <mergeCell ref="T1:X1"/>
    <mergeCell ref="D8:D9"/>
    <mergeCell ref="L6:L7"/>
    <mergeCell ref="N6:N7"/>
    <mergeCell ref="H8:H9"/>
    <mergeCell ref="J8:J9"/>
    <mergeCell ref="I6:I7"/>
    <mergeCell ref="K6:K7"/>
    <mergeCell ref="C6:C7"/>
    <mergeCell ref="O6:O7"/>
    <mergeCell ref="D6:D7"/>
    <mergeCell ref="F6:F7"/>
  </mergeCells>
  <conditionalFormatting sqref="A6:CW201">
    <cfRule type="expression" priority="1" dxfId="0">
      <formula>mod(countunique($c$6:$c6), 2) = 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2026-09-09T18:34:56Z</dcterms:created>
  <dcterms:modified xsi:type="dcterms:W3CDTF">2026-09-21T17:55:03Z</dcterms:modified>
</cp:coreProperties>
</file>